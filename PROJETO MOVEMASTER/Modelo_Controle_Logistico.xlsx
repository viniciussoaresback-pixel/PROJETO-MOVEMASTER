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bceea449b0256a6/CONSULTORIA METHA/MOVEMASTER/PLANILHA/"/>
    </mc:Choice>
  </mc:AlternateContent>
  <xr:revisionPtr revIDLastSave="2" documentId="11_A0A87DD3A713E321D027CE37E78B85E6415B08B2" xr6:coauthVersionLast="47" xr6:coauthVersionMax="47" xr10:uidLastSave="{00241AA0-432D-4274-A7BC-49979719390E}"/>
  <bookViews>
    <workbookView xWindow="-120" yWindow="-120" windowWidth="20730" windowHeight="11040" tabRatio="500" firstSheet="5" activeTab="6" xr2:uid="{00000000-000D-0000-FFFF-FFFF00000000}"/>
  </bookViews>
  <sheets>
    <sheet name="LEIA-ME" sheetId="1" r:id="rId1"/>
    <sheet name="PARAMETROS" sheetId="2" r:id="rId2"/>
    <sheet name="CLIENTES" sheetId="3" r:id="rId3"/>
    <sheet name="LOCAIS" sheetId="4" r:id="rId4"/>
    <sheet name="MOTORISTAS" sheetId="5" r:id="rId5"/>
    <sheet name="CEGONHAS" sheetId="6" r:id="rId6"/>
    <sheet name="PEDIDOS" sheetId="7" r:id="rId7"/>
    <sheet name="ITENS_PEDIDO" sheetId="8" r:id="rId8"/>
    <sheet name="CARGAS" sheetId="9" r:id="rId9"/>
    <sheet name="TRECHOS" sheetId="10" r:id="rId10"/>
    <sheet name="CUSTOS" sheetId="11" r:id="rId11"/>
    <sheet name="CHECKLIST" sheetId="12" r:id="rId12"/>
    <sheet name="OCORRENCIAS" sheetId="13" r:id="rId13"/>
    <sheet name="HISTORICO_LOG" sheetId="14" r:id="rId14"/>
    <sheet name="FATURAMENTO_MOTORISTA" sheetId="15" r:id="rId15"/>
    <sheet name="PAINEL" sheetId="16" r:id="rId16"/>
    <sheet name="ROMANEIO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17" l="1"/>
  <c r="G28" i="17"/>
  <c r="F28" i="17"/>
  <c r="E28" i="17"/>
  <c r="D28" i="17"/>
  <c r="C28" i="17"/>
  <c r="B28" i="17"/>
  <c r="A28" i="17"/>
  <c r="H27" i="17"/>
  <c r="G27" i="17"/>
  <c r="F27" i="17"/>
  <c r="E27" i="17"/>
  <c r="D27" i="17"/>
  <c r="C27" i="17"/>
  <c r="B27" i="17"/>
  <c r="A27" i="17"/>
  <c r="H26" i="17"/>
  <c r="G26" i="17"/>
  <c r="F26" i="17"/>
  <c r="E26" i="17"/>
  <c r="D26" i="17"/>
  <c r="C26" i="17"/>
  <c r="B26" i="17"/>
  <c r="A26" i="17"/>
  <c r="H25" i="17"/>
  <c r="G25" i="17"/>
  <c r="F25" i="17"/>
  <c r="E25" i="17"/>
  <c r="D25" i="17"/>
  <c r="C25" i="17"/>
  <c r="B25" i="17"/>
  <c r="A25" i="17"/>
  <c r="H24" i="17"/>
  <c r="G24" i="17"/>
  <c r="F24" i="17"/>
  <c r="E24" i="17"/>
  <c r="D24" i="17"/>
  <c r="C24" i="17"/>
  <c r="B24" i="17"/>
  <c r="A24" i="17"/>
  <c r="H23" i="17"/>
  <c r="G23" i="17"/>
  <c r="F23" i="17"/>
  <c r="E23" i="17"/>
  <c r="D23" i="17"/>
  <c r="C23" i="17"/>
  <c r="B23" i="17"/>
  <c r="A23" i="17"/>
  <c r="H22" i="17"/>
  <c r="G22" i="17"/>
  <c r="F22" i="17"/>
  <c r="E22" i="17"/>
  <c r="D22" i="17"/>
  <c r="C22" i="17"/>
  <c r="B22" i="17"/>
  <c r="A22" i="17"/>
  <c r="H21" i="17"/>
  <c r="G21" i="17"/>
  <c r="F21" i="17"/>
  <c r="E21" i="17"/>
  <c r="D21" i="17"/>
  <c r="C21" i="17"/>
  <c r="B21" i="17"/>
  <c r="A21" i="17"/>
  <c r="H20" i="17"/>
  <c r="G20" i="17"/>
  <c r="F20" i="17"/>
  <c r="E20" i="17"/>
  <c r="D20" i="17"/>
  <c r="C20" i="17"/>
  <c r="B20" i="17"/>
  <c r="A20" i="17"/>
  <c r="H19" i="17"/>
  <c r="G19" i="17"/>
  <c r="F19" i="17"/>
  <c r="E19" i="17"/>
  <c r="D19" i="17"/>
  <c r="C19" i="17"/>
  <c r="B19" i="17"/>
  <c r="A19" i="17"/>
  <c r="H18" i="17"/>
  <c r="G18" i="17"/>
  <c r="F18" i="17"/>
  <c r="E18" i="17"/>
  <c r="D18" i="17"/>
  <c r="C18" i="17"/>
  <c r="B18" i="17"/>
  <c r="A18" i="17"/>
  <c r="H17" i="17"/>
  <c r="G17" i="17"/>
  <c r="F17" i="17"/>
  <c r="E17" i="17"/>
  <c r="D17" i="17"/>
  <c r="C17" i="17"/>
  <c r="B17" i="17"/>
  <c r="A17" i="17"/>
  <c r="H16" i="17"/>
  <c r="G16" i="17"/>
  <c r="F16" i="17"/>
  <c r="E16" i="17"/>
  <c r="D16" i="17"/>
  <c r="C16" i="17"/>
  <c r="B16" i="17"/>
  <c r="A16" i="17"/>
  <c r="H15" i="17"/>
  <c r="G15" i="17"/>
  <c r="F15" i="17"/>
  <c r="E15" i="17"/>
  <c r="D15" i="17"/>
  <c r="C15" i="17"/>
  <c r="B15" i="17"/>
  <c r="A15" i="17"/>
  <c r="H14" i="17"/>
  <c r="G14" i="17"/>
  <c r="F14" i="17"/>
  <c r="E14" i="17"/>
  <c r="D14" i="17"/>
  <c r="C14" i="17"/>
  <c r="B14" i="17"/>
  <c r="A14" i="17"/>
  <c r="H13" i="17"/>
  <c r="G13" i="17"/>
  <c r="F13" i="17"/>
  <c r="E13" i="17"/>
  <c r="D13" i="17"/>
  <c r="C13" i="17"/>
  <c r="B13" i="17"/>
  <c r="A13" i="17"/>
  <c r="H12" i="17"/>
  <c r="G12" i="17"/>
  <c r="F12" i="17"/>
  <c r="E12" i="17"/>
  <c r="D12" i="17"/>
  <c r="C12" i="17"/>
  <c r="B12" i="17"/>
  <c r="A12" i="17"/>
  <c r="H11" i="17"/>
  <c r="G11" i="17"/>
  <c r="F11" i="17"/>
  <c r="E11" i="17"/>
  <c r="D11" i="17"/>
  <c r="C11" i="17"/>
  <c r="B11" i="17"/>
  <c r="A11" i="17"/>
  <c r="B7" i="17"/>
  <c r="B6" i="17"/>
  <c r="B5" i="17"/>
  <c r="B4" i="17"/>
  <c r="B3" i="17"/>
  <c r="B18" i="16"/>
  <c r="B17" i="16"/>
  <c r="B9" i="16"/>
  <c r="B7" i="16"/>
  <c r="B6" i="16"/>
  <c r="B5" i="16"/>
  <c r="B4" i="16"/>
  <c r="B3" i="16"/>
  <c r="L9" i="15"/>
  <c r="E9" i="15"/>
  <c r="D9" i="15"/>
  <c r="C9" i="15"/>
  <c r="B9" i="15"/>
  <c r="L8" i="15"/>
  <c r="G8" i="15"/>
  <c r="E8" i="15"/>
  <c r="D8" i="15"/>
  <c r="C8" i="15"/>
  <c r="B8" i="15"/>
  <c r="L7" i="15"/>
  <c r="E7" i="15"/>
  <c r="D7" i="15"/>
  <c r="C7" i="15"/>
  <c r="B7" i="15"/>
  <c r="L6" i="15"/>
  <c r="E6" i="15"/>
  <c r="D6" i="15"/>
  <c r="C6" i="15"/>
  <c r="B6" i="15"/>
  <c r="L5" i="15"/>
  <c r="L10" i="15" s="1"/>
  <c r="F5" i="15"/>
  <c r="E5" i="15"/>
  <c r="D5" i="15"/>
  <c r="C5" i="15"/>
  <c r="B5" i="15"/>
  <c r="D2" i="15"/>
  <c r="C2" i="15"/>
  <c r="V19" i="10"/>
  <c r="U19" i="10"/>
  <c r="T19" i="10"/>
  <c r="P19" i="10"/>
  <c r="O19" i="10"/>
  <c r="R19" i="10" s="1"/>
  <c r="N19" i="10"/>
  <c r="M19" i="10"/>
  <c r="L19" i="10"/>
  <c r="Y19" i="10" s="1"/>
  <c r="J19" i="10"/>
  <c r="E19" i="10"/>
  <c r="Y18" i="10"/>
  <c r="V18" i="10"/>
  <c r="U18" i="10"/>
  <c r="T18" i="10"/>
  <c r="P18" i="10"/>
  <c r="M18" i="10"/>
  <c r="N18" i="10" s="1"/>
  <c r="L18" i="10"/>
  <c r="J18" i="10"/>
  <c r="E18" i="10"/>
  <c r="Y17" i="10"/>
  <c r="V17" i="10"/>
  <c r="U17" i="10"/>
  <c r="T17" i="10"/>
  <c r="P17" i="10"/>
  <c r="M17" i="10"/>
  <c r="N17" i="10" s="1"/>
  <c r="L17" i="10"/>
  <c r="J17" i="10"/>
  <c r="E17" i="10"/>
  <c r="Y16" i="10"/>
  <c r="V16" i="10"/>
  <c r="U16" i="10"/>
  <c r="T16" i="10"/>
  <c r="P16" i="10"/>
  <c r="M16" i="10"/>
  <c r="L16" i="10"/>
  <c r="N16" i="10" s="1"/>
  <c r="J16" i="10"/>
  <c r="E16" i="10"/>
  <c r="V15" i="10"/>
  <c r="U15" i="10"/>
  <c r="T15" i="10"/>
  <c r="P15" i="10"/>
  <c r="M15" i="10"/>
  <c r="J15" i="10"/>
  <c r="L15" i="10" s="1"/>
  <c r="E15" i="10"/>
  <c r="V14" i="10"/>
  <c r="U14" i="10"/>
  <c r="T14" i="10"/>
  <c r="P14" i="10"/>
  <c r="M14" i="10"/>
  <c r="J14" i="10"/>
  <c r="L14" i="10" s="1"/>
  <c r="E14" i="10"/>
  <c r="V13" i="10"/>
  <c r="U13" i="10"/>
  <c r="T13" i="10"/>
  <c r="P13" i="10"/>
  <c r="M13" i="10"/>
  <c r="J13" i="10"/>
  <c r="L13" i="10" s="1"/>
  <c r="N13" i="10" s="1"/>
  <c r="E13" i="10"/>
  <c r="V12" i="10"/>
  <c r="U12" i="10"/>
  <c r="T12" i="10"/>
  <c r="P12" i="10"/>
  <c r="M12" i="10"/>
  <c r="J12" i="10"/>
  <c r="L12" i="10" s="1"/>
  <c r="N12" i="10" s="1"/>
  <c r="E12" i="10"/>
  <c r="V11" i="10"/>
  <c r="U11" i="10"/>
  <c r="T11" i="10"/>
  <c r="P11" i="10"/>
  <c r="M11" i="10"/>
  <c r="J11" i="10"/>
  <c r="L11" i="10" s="1"/>
  <c r="N11" i="10" s="1"/>
  <c r="E11" i="10"/>
  <c r="V10" i="10"/>
  <c r="U10" i="10"/>
  <c r="T10" i="10"/>
  <c r="P10" i="10"/>
  <c r="M10" i="10"/>
  <c r="J10" i="10"/>
  <c r="L10" i="10" s="1"/>
  <c r="N10" i="10" s="1"/>
  <c r="E10" i="10"/>
  <c r="V9" i="10"/>
  <c r="U9" i="10"/>
  <c r="T9" i="10"/>
  <c r="P9" i="10"/>
  <c r="M9" i="10"/>
  <c r="J9" i="10"/>
  <c r="L9" i="10" s="1"/>
  <c r="N9" i="10" s="1"/>
  <c r="E9" i="10"/>
  <c r="V8" i="10"/>
  <c r="U8" i="10"/>
  <c r="T8" i="10"/>
  <c r="P8" i="10"/>
  <c r="M8" i="10"/>
  <c r="J8" i="10"/>
  <c r="L8" i="10" s="1"/>
  <c r="N8" i="10" s="1"/>
  <c r="E8" i="10"/>
  <c r="F8" i="15" s="1"/>
  <c r="V7" i="10"/>
  <c r="U7" i="10"/>
  <c r="T7" i="10"/>
  <c r="P7" i="10"/>
  <c r="M7" i="10"/>
  <c r="J7" i="10"/>
  <c r="L7" i="10" s="1"/>
  <c r="E7" i="10"/>
  <c r="V6" i="10"/>
  <c r="U6" i="10"/>
  <c r="T6" i="10"/>
  <c r="P6" i="10"/>
  <c r="M6" i="10"/>
  <c r="J6" i="10"/>
  <c r="L6" i="10" s="1"/>
  <c r="E6" i="10"/>
  <c r="V5" i="10"/>
  <c r="U5" i="10"/>
  <c r="T5" i="10"/>
  <c r="P5" i="10"/>
  <c r="M5" i="10"/>
  <c r="J5" i="10"/>
  <c r="L5" i="10" s="1"/>
  <c r="E5" i="10"/>
  <c r="V4" i="10"/>
  <c r="U4" i="10"/>
  <c r="T4" i="10"/>
  <c r="P4" i="10"/>
  <c r="M4" i="10"/>
  <c r="J4" i="10"/>
  <c r="L4" i="10" s="1"/>
  <c r="E4" i="10"/>
  <c r="V3" i="10"/>
  <c r="U3" i="10"/>
  <c r="T3" i="10"/>
  <c r="P3" i="10"/>
  <c r="M3" i="10"/>
  <c r="J3" i="10"/>
  <c r="L3" i="10" s="1"/>
  <c r="E3" i="10"/>
  <c r="V2" i="10"/>
  <c r="U2" i="10"/>
  <c r="T2" i="10"/>
  <c r="P2" i="10"/>
  <c r="M2" i="10"/>
  <c r="J2" i="10"/>
  <c r="L2" i="10" s="1"/>
  <c r="E2" i="10"/>
  <c r="K6" i="9"/>
  <c r="J6" i="9"/>
  <c r="J5" i="9"/>
  <c r="J4" i="9"/>
  <c r="J3" i="9"/>
  <c r="J2" i="9"/>
  <c r="AD14" i="8"/>
  <c r="AC14" i="8"/>
  <c r="AA14" i="8"/>
  <c r="Z14" i="8"/>
  <c r="AB14" i="8" s="1"/>
  <c r="Y14" i="8"/>
  <c r="AD13" i="8"/>
  <c r="AC13" i="8"/>
  <c r="Y13" i="8"/>
  <c r="AD12" i="8"/>
  <c r="AC12" i="8"/>
  <c r="Y12" i="8"/>
  <c r="AD11" i="8"/>
  <c r="AC11" i="8"/>
  <c r="Y11" i="8"/>
  <c r="AD10" i="8"/>
  <c r="AC10" i="8"/>
  <c r="Y10" i="8"/>
  <c r="AD9" i="8"/>
  <c r="Y9" i="8"/>
  <c r="AD8" i="8"/>
  <c r="Y8" i="8"/>
  <c r="AD7" i="8"/>
  <c r="Y7" i="8"/>
  <c r="AD6" i="8"/>
  <c r="Y6" i="8"/>
  <c r="AD5" i="8"/>
  <c r="Y5" i="8"/>
  <c r="AD4" i="8"/>
  <c r="Y4" i="8"/>
  <c r="AD3" i="8"/>
  <c r="Y3" i="8"/>
  <c r="AD2" i="8"/>
  <c r="B16" i="16" s="1"/>
  <c r="Y2" i="8"/>
  <c r="B12" i="16" s="1"/>
  <c r="J4" i="7"/>
  <c r="I4" i="7"/>
  <c r="H4" i="7"/>
  <c r="J3" i="7"/>
  <c r="I3" i="7"/>
  <c r="H3" i="7"/>
  <c r="J2" i="7"/>
  <c r="I2" i="7"/>
  <c r="H2" i="7"/>
  <c r="O9" i="10" l="1"/>
  <c r="M6" i="9"/>
  <c r="AA13" i="8"/>
  <c r="B8" i="17"/>
  <c r="O8" i="10"/>
  <c r="K3" i="9"/>
  <c r="N7" i="10"/>
  <c r="AC7" i="8"/>
  <c r="Y13" i="10"/>
  <c r="Y7" i="10"/>
  <c r="H6" i="15"/>
  <c r="N15" i="10"/>
  <c r="Y15" i="10"/>
  <c r="AC9" i="8"/>
  <c r="N2" i="10"/>
  <c r="AC2" i="8"/>
  <c r="Y8" i="10"/>
  <c r="Y2" i="10"/>
  <c r="O10" i="10"/>
  <c r="N6" i="10"/>
  <c r="H5" i="15" s="1"/>
  <c r="H10" i="15" s="1"/>
  <c r="AC6" i="8"/>
  <c r="Y12" i="10"/>
  <c r="Y6" i="10"/>
  <c r="N14" i="10"/>
  <c r="AC8" i="8"/>
  <c r="Y14" i="10"/>
  <c r="N5" i="10"/>
  <c r="Y11" i="10"/>
  <c r="Y5" i="10"/>
  <c r="AC5" i="8"/>
  <c r="O13" i="10"/>
  <c r="O17" i="10"/>
  <c r="K5" i="9"/>
  <c r="O18" i="10"/>
  <c r="N4" i="10"/>
  <c r="AC4" i="8"/>
  <c r="Y10" i="10"/>
  <c r="Y4" i="10"/>
  <c r="O12" i="10"/>
  <c r="N3" i="10"/>
  <c r="AC3" i="8"/>
  <c r="Y9" i="10"/>
  <c r="Y3" i="10"/>
  <c r="O11" i="10"/>
  <c r="Q19" i="10"/>
  <c r="W19" i="10" s="1"/>
  <c r="G5" i="15"/>
  <c r="H8" i="15"/>
  <c r="F7" i="15"/>
  <c r="G7" i="15"/>
  <c r="H7" i="15"/>
  <c r="F9" i="15"/>
  <c r="F6" i="15"/>
  <c r="F10" i="15" s="1"/>
  <c r="G9" i="15"/>
  <c r="G6" i="15"/>
  <c r="H9" i="15"/>
  <c r="G10" i="15" l="1"/>
  <c r="O3" i="10"/>
  <c r="O4" i="10"/>
  <c r="O5" i="10"/>
  <c r="R10" i="10"/>
  <c r="Q10" i="10"/>
  <c r="S10" i="10" s="1"/>
  <c r="W10" i="10" s="1"/>
  <c r="X10" i="10" s="1"/>
  <c r="I9" i="15"/>
  <c r="L6" i="9"/>
  <c r="N6" i="9" s="1"/>
  <c r="Z13" i="8"/>
  <c r="AB13" i="8" s="1"/>
  <c r="X19" i="10"/>
  <c r="S19" i="10"/>
  <c r="J9" i="15" s="1"/>
  <c r="R18" i="10"/>
  <c r="AA12" i="8" s="1"/>
  <c r="Q18" i="10"/>
  <c r="S18" i="10" s="1"/>
  <c r="W18" i="10" s="1"/>
  <c r="R13" i="10"/>
  <c r="Q13" i="10"/>
  <c r="S13" i="10" s="1"/>
  <c r="W13" i="10" s="1"/>
  <c r="X13" i="10" s="1"/>
  <c r="K4" i="9"/>
  <c r="O14" i="10"/>
  <c r="O16" i="10"/>
  <c r="O7" i="10"/>
  <c r="R17" i="10"/>
  <c r="Q17" i="10"/>
  <c r="R11" i="10"/>
  <c r="Q11" i="10"/>
  <c r="S11" i="10" s="1"/>
  <c r="W11" i="10" s="1"/>
  <c r="R12" i="10"/>
  <c r="Q12" i="10"/>
  <c r="S12" i="10" s="1"/>
  <c r="W12" i="10" s="1"/>
  <c r="O6" i="10"/>
  <c r="K9" i="15"/>
  <c r="M9" i="15" s="1"/>
  <c r="N9" i="15" s="1"/>
  <c r="B15" i="16"/>
  <c r="O2" i="10"/>
  <c r="K2" i="9"/>
  <c r="O15" i="10"/>
  <c r="R8" i="10"/>
  <c r="Q8" i="10"/>
  <c r="R9" i="10"/>
  <c r="Q9" i="10"/>
  <c r="S9" i="10" s="1"/>
  <c r="W9" i="10" s="1"/>
  <c r="X9" i="10" s="1"/>
  <c r="R6" i="10" l="1"/>
  <c r="AA6" i="8" s="1"/>
  <c r="Q6" i="10"/>
  <c r="S6" i="10" s="1"/>
  <c r="W6" i="10" s="1"/>
  <c r="R4" i="10"/>
  <c r="AA4" i="8" s="1"/>
  <c r="Q4" i="10"/>
  <c r="S4" i="10" s="1"/>
  <c r="W4" i="10" s="1"/>
  <c r="R3" i="10"/>
  <c r="AA3" i="8" s="1"/>
  <c r="Q3" i="10"/>
  <c r="S3" i="10" s="1"/>
  <c r="W3" i="10" s="1"/>
  <c r="R5" i="10"/>
  <c r="AA5" i="8" s="1"/>
  <c r="Q5" i="10"/>
  <c r="S5" i="10" s="1"/>
  <c r="W5" i="10" s="1"/>
  <c r="M5" i="9"/>
  <c r="AA11" i="8"/>
  <c r="R2" i="10"/>
  <c r="Q2" i="10"/>
  <c r="X12" i="10"/>
  <c r="R7" i="10"/>
  <c r="AA7" i="8" s="1"/>
  <c r="Q7" i="10"/>
  <c r="S7" i="10" s="1"/>
  <c r="W7" i="10" s="1"/>
  <c r="Z12" i="8"/>
  <c r="AB12" i="8" s="1"/>
  <c r="X18" i="10"/>
  <c r="S8" i="10"/>
  <c r="I8" i="15"/>
  <c r="W16" i="10"/>
  <c r="R16" i="10"/>
  <c r="AA10" i="8" s="1"/>
  <c r="Q16" i="10"/>
  <c r="S16" i="10" s="1"/>
  <c r="S17" i="10"/>
  <c r="I7" i="15"/>
  <c r="M3" i="9"/>
  <c r="R15" i="10"/>
  <c r="AA9" i="8" s="1"/>
  <c r="Q15" i="10"/>
  <c r="S15" i="10" s="1"/>
  <c r="X11" i="10"/>
  <c r="W14" i="10"/>
  <c r="R14" i="10"/>
  <c r="Q14" i="10"/>
  <c r="Z8" i="8" l="1"/>
  <c r="X14" i="10"/>
  <c r="Z7" i="8"/>
  <c r="AB7" i="8" s="1"/>
  <c r="X7" i="10"/>
  <c r="Z3" i="8"/>
  <c r="AB3" i="8" s="1"/>
  <c r="X3" i="10"/>
  <c r="Z4" i="8"/>
  <c r="AB4" i="8" s="1"/>
  <c r="X4" i="10"/>
  <c r="W15" i="10"/>
  <c r="W8" i="10"/>
  <c r="J8" i="15"/>
  <c r="AA2" i="8"/>
  <c r="B11" i="16"/>
  <c r="M2" i="9"/>
  <c r="Z6" i="8"/>
  <c r="AB6" i="8" s="1"/>
  <c r="X6" i="10"/>
  <c r="Z10" i="8"/>
  <c r="AB10" i="8" s="1"/>
  <c r="X16" i="10"/>
  <c r="I5" i="15"/>
  <c r="I10" i="15" s="1"/>
  <c r="S2" i="10"/>
  <c r="I6" i="15"/>
  <c r="S14" i="10"/>
  <c r="J6" i="15" s="1"/>
  <c r="M4" i="9"/>
  <c r="AA8" i="8"/>
  <c r="W17" i="10"/>
  <c r="J7" i="15"/>
  <c r="Z5" i="8"/>
  <c r="AB5" i="8" s="1"/>
  <c r="X5" i="10"/>
  <c r="L3" i="9" l="1"/>
  <c r="N3" i="9" s="1"/>
  <c r="K8" i="15"/>
  <c r="M8" i="15" s="1"/>
  <c r="N8" i="15" s="1"/>
  <c r="X8" i="10"/>
  <c r="Z9" i="8"/>
  <c r="AB9" i="8" s="1"/>
  <c r="X15" i="10"/>
  <c r="K6" i="15"/>
  <c r="M6" i="15" s="1"/>
  <c r="N6" i="15" s="1"/>
  <c r="W2" i="10"/>
  <c r="J5" i="15"/>
  <c r="J10" i="15" s="1"/>
  <c r="AB8" i="8"/>
  <c r="L5" i="9"/>
  <c r="N5" i="9" s="1"/>
  <c r="Z11" i="8"/>
  <c r="AB11" i="8" s="1"/>
  <c r="K7" i="15"/>
  <c r="M7" i="15" s="1"/>
  <c r="N7" i="15" s="1"/>
  <c r="X17" i="10"/>
  <c r="L4" i="9"/>
  <c r="N4" i="9" s="1"/>
  <c r="Z2" i="8" l="1"/>
  <c r="AB2" i="8" s="1"/>
  <c r="B13" i="16" s="1"/>
  <c r="B10" i="16"/>
  <c r="L2" i="9"/>
  <c r="N2" i="9" s="1"/>
  <c r="K5" i="15"/>
  <c r="X2" i="10"/>
  <c r="M5" i="15" l="1"/>
  <c r="K10" i="15"/>
  <c r="M10" i="15" l="1"/>
  <c r="N5" i="15"/>
</calcChain>
</file>

<file path=xl/sharedStrings.xml><?xml version="1.0" encoding="utf-8"?>
<sst xmlns="http://schemas.openxmlformats.org/spreadsheetml/2006/main" count="931" uniqueCount="531">
  <si>
    <t>MODELO DE CONTROLE COMERCIAL + LOGÍSTICO</t>
  </si>
  <si>
    <t>Transporte fracionado de veículos — v2 (regras confirmadas com o cliente)</t>
  </si>
  <si>
    <t>COMO LER</t>
  </si>
  <si>
    <t>Azul = campo digitado. Preto = calculado por fórmula (não digitar). Amarelo = parâmetro.</t>
  </si>
  <si>
    <t>REGRA DE OURO</t>
  </si>
  <si>
    <t>O veículo (chassi) é a unidade de tudo: frete, status, seguro, checklist, ocorrência, CT-e e rateio. A carga é só o agrupamento de veículos que um executante levou em um pedaço do caminho.</t>
  </si>
  <si>
    <t>1. RATEIO DA RECEITA</t>
  </si>
  <si>
    <t>POR KM. O peso de cada trecho = km do trecho ÷ km total do veículo. A soma dos trechos de um veículo tem que fechar 100% (coluna CHECK_RATEIO acusa).</t>
  </si>
  <si>
    <t>Para dividir de outra forma em um caso específico, digite em PESO_MANUAL na aba TRECHOS.</t>
  </si>
  <si>
    <t>2. BASE DE REMUNERAÇÃO</t>
  </si>
  <si>
    <t>FRETE MENOS CUSTO. A base do executante = receita do trecho − custos dedutíveis daquele trecho.</t>
  </si>
  <si>
    <t>Custo de nível CARGA (pedágio, combustível) é rateado entre os veículos da carga na proporção da receita.</t>
  </si>
  <si>
    <t>Custo de nível TRECHO (adiantamento, estadia) é lançado direto no veículo.</t>
  </si>
  <si>
    <t>DEDUZ_BASE = SIM → o custo desconta do executante. NAO → é custo da empresa, entra só na margem.</t>
  </si>
  <si>
    <t>Regra %_FRETE: recebe % sobre a base líquida. Regras R$/KM e FIXO_VEICULO: valor cheio menos os custos dedutíveis.</t>
  </si>
  <si>
    <t>Princípio único: o executante nunca ganha em cima de custo que a empresa bancou por ele.</t>
  </si>
  <si>
    <t>3. AVARIA NO TRANSBORDO</t>
  </si>
  <si>
    <t>REGRA AINDA A DEFINIR. O modelo já suporta: o checklist de TRANSBORDO fotografa o veículo na troca de mãos e é ele que determina em qual trecho a avaria apareceu.</t>
  </si>
  <si>
    <t>Enquanto a regra não é fechada, a decisão fica em OCORRENCIAS.RESPONSABILIDADE (EXECUTANTE / EMPRESA / CLIENTE).</t>
  </si>
  <si>
    <t>Ocorrência com RESPONSABILIDADE=EXECUTANTE e STATUS=APROVADA vira desconto no acerto do período (não no trecho).</t>
  </si>
  <si>
    <t>4. ALTERAÇÃO DE FRETE</t>
  </si>
  <si>
    <t>NINGUÉM SEM LOG. VALOR_FRETE_ORIGINAL é congelado no lançamento. Se VALOR_FRETE mudar e não houver linha correspondente</t>
  </si>
  <si>
    <t>em HISTORICO_LOG, a coluna CONTROLE_FRETE marca 'BLOQUEAR: SEM LOG'. Em planilha isso é uma trava visual; em sistema é bloqueio real.</t>
  </si>
  <si>
    <t>5. SEGURO / FIPE</t>
  </si>
  <si>
    <t>Operação é quase 100% SEMINOVO → a base do seguro é a FIPE, consultada pela placa. Guardar SEMPRE o COD_FIPE e o</t>
  </si>
  <si>
    <t>MES_REF_FIPE usado: a FIPE muda todo mês e sem a referência não há como auditar o prêmio depois.</t>
  </si>
  <si>
    <t>Para o 0km eventual, a base é o valor da nota fiscal (MES_REF_FIPE = 'NF').</t>
  </si>
  <si>
    <t>Consulta placa → FIPE exige API. Não existe em planilha; é requisito do sistema.</t>
  </si>
  <si>
    <t>STATUS DO VEÍCULO</t>
  </si>
  <si>
    <t>AGUARDANDO_ROTA → EM_ROTA → ROTA_CONFIRMADA → COLETADO → EM_TRANSITO → ENTREGUE → FATURADO (ou CANCELADO)</t>
  </si>
  <si>
    <t>ABAS</t>
  </si>
  <si>
    <t>Cadastro: CLIENTES · LOCAIS · MOTORISTAS (inclui terceiros) · CEGONHAS</t>
  </si>
  <si>
    <t>Movimento: PEDIDOS · ITENS_PEDIDO · CARGAS · TRECHOS · CUSTOS · CHECKLIST · OCORRENCIAS</t>
  </si>
  <si>
    <t>Saída: FATURAMENTO_MOTORISTA · PAINEL · ROMANEIO   |   Auditoria: HISTORICO_LOG</t>
  </si>
  <si>
    <t>PARÂMETRO</t>
  </si>
  <si>
    <t>VALOR</t>
  </si>
  <si>
    <t>OBSERVAÇÃO</t>
  </si>
  <si>
    <t>Taxa de seguro (% sobre valor segurado)</t>
  </si>
  <si>
    <t>Ad valorem. Ajustar conforme apólice (RCTR-C / RCF-DC).</t>
  </si>
  <si>
    <t>Início do período de apuração</t>
  </si>
  <si>
    <t>Usado no faturamento por motorista e nos descontos de ocorrência.</t>
  </si>
  <si>
    <t>Fim do período de apuração</t>
  </si>
  <si>
    <t>Idem.</t>
  </si>
  <si>
    <t>Critério de rateio da receita</t>
  </si>
  <si>
    <t>KM</t>
  </si>
  <si>
    <t>CONFIRMADO: peso do trecho proporcional ao km rodado.</t>
  </si>
  <si>
    <t>Base de remuneração</t>
  </si>
  <si>
    <t>LIQUIDA</t>
  </si>
  <si>
    <t>CONFIRMADO: frete menos custos dedutíveis.</t>
  </si>
  <si>
    <t>Rateio do custo de carga entre veículos</t>
  </si>
  <si>
    <t>RECEITA</t>
  </si>
  <si>
    <t>Custo de pedágio/combustível da carga é dividido na proporção da receita de cada veículo.</t>
  </si>
  <si>
    <t>Remuneração R$/KM</t>
  </si>
  <si>
    <t>POR CARGA</t>
  </si>
  <si>
    <t>IMPORTANTE: km é da viagem, não do veículo. O valor da carga é rateado entre os veículos dela.</t>
  </si>
  <si>
    <t>ID_CLIENTE</t>
  </si>
  <si>
    <t>RAZAO_SOCIAL</t>
  </si>
  <si>
    <t>CNPJ</t>
  </si>
  <si>
    <t>CONTATO</t>
  </si>
  <si>
    <t>EMAIL</t>
  </si>
  <si>
    <t>TELEFONE</t>
  </si>
  <si>
    <t>PRAZO_PAGTO_DIAS</t>
  </si>
  <si>
    <t>TABELA_PRECO</t>
  </si>
  <si>
    <t>ATIVO</t>
  </si>
  <si>
    <t>CLI-001</t>
  </si>
  <si>
    <t>Rede Beta Seminovos S/A</t>
  </si>
  <si>
    <t>22.222.222/0001-22</t>
  </si>
  <si>
    <t>Fernanda Lima</t>
  </si>
  <si>
    <t>fernanda@beta.com.br</t>
  </si>
  <si>
    <t>(41) 98888-0002</t>
  </si>
  <si>
    <t>TAB-PADRAO</t>
  </si>
  <si>
    <t>SIM</t>
  </si>
  <si>
    <t>CLI-002</t>
  </si>
  <si>
    <t>Concessionária Alfa Ltda</t>
  </si>
  <si>
    <t>11.111.111/0001-11</t>
  </si>
  <si>
    <t>Marcos Silva</t>
  </si>
  <si>
    <t>marcos@alfa.com.br</t>
  </si>
  <si>
    <t>(45) 99999-0001</t>
  </si>
  <si>
    <t>TAB-SUL</t>
  </si>
  <si>
    <t>CLI-003</t>
  </si>
  <si>
    <t>Montadora Gama do Brasil</t>
  </si>
  <si>
    <t>33.333.333/0001-33</t>
  </si>
  <si>
    <t>Ricardo Souza</t>
  </si>
  <si>
    <t>ricardo@gama.com.br</t>
  </si>
  <si>
    <t>(11) 97777-0003</t>
  </si>
  <si>
    <t>TAB-MONTADORA</t>
  </si>
  <si>
    <t>ID_LOCAL</t>
  </si>
  <si>
    <t>NOME</t>
  </si>
  <si>
    <t>TIPO</t>
  </si>
  <si>
    <t>ENDERECO</t>
  </si>
  <si>
    <t>CIDADE</t>
  </si>
  <si>
    <t>UF</t>
  </si>
  <si>
    <t>CEP</t>
  </si>
  <si>
    <t>HORARIO_RECEBIMENTO</t>
  </si>
  <si>
    <t>RESTRICOES</t>
  </si>
  <si>
    <t>LOC-001</t>
  </si>
  <si>
    <t>Pátio Beta Seminovos Campinas</t>
  </si>
  <si>
    <t>PATIO</t>
  </si>
  <si>
    <t>Rod. Anhanguera, km 60</t>
  </si>
  <si>
    <t>Campinas</t>
  </si>
  <si>
    <t>SP</t>
  </si>
  <si>
    <t>13000-000</t>
  </si>
  <si>
    <t>Portaria</t>
  </si>
  <si>
    <t>(19) 3333-0001</t>
  </si>
  <si>
    <t>07h-17h</t>
  </si>
  <si>
    <t>Agendamento obrigatório</t>
  </si>
  <si>
    <t>LOC-002</t>
  </si>
  <si>
    <t>Concessionária Alfa Cascavel</t>
  </si>
  <si>
    <t>CONCESSIONARIA</t>
  </si>
  <si>
    <t>Av. Brasil, 1200</t>
  </si>
  <si>
    <t>Cascavel</t>
  </si>
  <si>
    <t>PR</t>
  </si>
  <si>
    <t>85800-000</t>
  </si>
  <si>
    <t>Marcos</t>
  </si>
  <si>
    <t>08h-18h</t>
  </si>
  <si>
    <t>Rua estreita: descarga na via</t>
  </si>
  <si>
    <t>LOC-003</t>
  </si>
  <si>
    <t>Beta Seminovos Curitiba</t>
  </si>
  <si>
    <t>Av. das Torres, 900</t>
  </si>
  <si>
    <t>Curitiba</t>
  </si>
  <si>
    <t>81000-000</t>
  </si>
  <si>
    <t>Fernanda</t>
  </si>
  <si>
    <t>08h-17h</t>
  </si>
  <si>
    <t>-</t>
  </si>
  <si>
    <t>LOC-004</t>
  </si>
  <si>
    <t>Transbordo Registro</t>
  </si>
  <si>
    <t>BR-116, km 440</t>
  </si>
  <si>
    <t>Registro</t>
  </si>
  <si>
    <t>11900-000</t>
  </si>
  <si>
    <t>Base</t>
  </si>
  <si>
    <t>(13) 3822-0004</t>
  </si>
  <si>
    <t>24h</t>
  </si>
  <si>
    <t>Ponto de troca de carga</t>
  </si>
  <si>
    <t>LOC-005</t>
  </si>
  <si>
    <t>Concessionária Alfa Maringá</t>
  </si>
  <si>
    <t>Av. Colombo, 5000</t>
  </si>
  <si>
    <t>Maringá</t>
  </si>
  <si>
    <t>87000-000</t>
  </si>
  <si>
    <t>Juliana</t>
  </si>
  <si>
    <t>(44) 96666-0005</t>
  </si>
  <si>
    <t>ID_MOTORISTA</t>
  </si>
  <si>
    <t>CPF</t>
  </si>
  <si>
    <t>CNH</t>
  </si>
  <si>
    <t>VALIDADE_CNH</t>
  </si>
  <si>
    <t>VINCULO</t>
  </si>
  <si>
    <t>TRANSPORTADORA_TERCEIRO</t>
  </si>
  <si>
    <t>REGRA_REMUNERACAO</t>
  </si>
  <si>
    <t>PARAMETRO</t>
  </si>
  <si>
    <t>CHAVE_PIX</t>
  </si>
  <si>
    <t>MOT-001</t>
  </si>
  <si>
    <t>João Pereira</t>
  </si>
  <si>
    <t>111.111.111-11</t>
  </si>
  <si>
    <t>01234567</t>
  </si>
  <si>
    <t>FROTA</t>
  </si>
  <si>
    <t>%_FRETE</t>
  </si>
  <si>
    <t>MOT-002</t>
  </si>
  <si>
    <t>Carlos Amaral</t>
  </si>
  <si>
    <t>222.222.222-22</t>
  </si>
  <si>
    <t>02345678</t>
  </si>
  <si>
    <t>R$/KM</t>
  </si>
  <si>
    <t>MOT-003</t>
  </si>
  <si>
    <t>Anderson Rocha</t>
  </si>
  <si>
    <t>333.333.333-33</t>
  </si>
  <si>
    <t>03456789</t>
  </si>
  <si>
    <t>AGREGADO</t>
  </si>
  <si>
    <t>TER-001</t>
  </si>
  <si>
    <t>Cegonha Sul Transportes</t>
  </si>
  <si>
    <t>TERCEIRO</t>
  </si>
  <si>
    <t>Cegonha Sul Transportes Ltda</t>
  </si>
  <si>
    <t>44.444.444/0001-44</t>
  </si>
  <si>
    <t>TER-002</t>
  </si>
  <si>
    <t>Rodo Leste Cegonhas</t>
  </si>
  <si>
    <t>Rodo Leste Cegonhas ME</t>
  </si>
  <si>
    <t>FIXO_VEICULO</t>
  </si>
  <si>
    <t>55.555.555/0001-55</t>
  </si>
  <si>
    <t>PARAMETRO: se a regra for %_FRETE use fração (0,12 = 12%). Se for R$/KM ou FIXO_VEICULO use valor em reais.</t>
  </si>
  <si>
    <t>ID_CEGONHA</t>
  </si>
  <si>
    <t>PLACA_CAVALO</t>
  </si>
  <si>
    <t>PLACA_CARRETA</t>
  </si>
  <si>
    <t>CAPACIDADE_VAGAS</t>
  </si>
  <si>
    <t>PROPRIEDADE</t>
  </si>
  <si>
    <t>TERCEIRO_PROPRIETARIO</t>
  </si>
  <si>
    <t>CEG-001</t>
  </si>
  <si>
    <t>ABC1D23</t>
  </si>
  <si>
    <t>DEF4G56</t>
  </si>
  <si>
    <t>CEGONHA 8 VAGAS</t>
  </si>
  <si>
    <t>CEG-002</t>
  </si>
  <si>
    <t>HIJ7K89</t>
  </si>
  <si>
    <t>LMN0P12</t>
  </si>
  <si>
    <t>CEGONHA 11 VAGAS</t>
  </si>
  <si>
    <t>CEG-003</t>
  </si>
  <si>
    <t>QRS3T45</t>
  </si>
  <si>
    <t>UVW6X78</t>
  </si>
  <si>
    <t>ID_PEDIDO</t>
  </si>
  <si>
    <t>DATA_SOLICITACAO</t>
  </si>
  <si>
    <t>SOLICITANTE_CLIENTE</t>
  </si>
  <si>
    <t>RESPONSAVEL_COMERCIAL</t>
  </si>
  <si>
    <t>STATUS_COMERCIAL</t>
  </si>
  <si>
    <t>PRAZO_PROMETIDO</t>
  </si>
  <si>
    <t>QTDE_VEICULOS</t>
  </si>
  <si>
    <t>VALOR_TOTAL_PEDIDO</t>
  </si>
  <si>
    <t>VEICULOS_ENTREGUES</t>
  </si>
  <si>
    <t>OBSERVACAO</t>
  </si>
  <si>
    <t>PED-001</t>
  </si>
  <si>
    <t>Ana (Comercial)</t>
  </si>
  <si>
    <t>CONFIRMADO</t>
  </si>
  <si>
    <t>Seminovos de leilão</t>
  </si>
  <si>
    <t>PED-002</t>
  </si>
  <si>
    <t>Bruno (Comercial)</t>
  </si>
  <si>
    <t>Repasse entre lojas</t>
  </si>
  <si>
    <t>PED-003</t>
  </si>
  <si>
    <t>EM_NEGOCIACAO</t>
  </si>
  <si>
    <t>0km — aguardando preço</t>
  </si>
  <si>
    <t>ID_ITEM</t>
  </si>
  <si>
    <t>CHASSI</t>
  </si>
  <si>
    <t>PLACA_VEICULO</t>
  </si>
  <si>
    <t>MARCA</t>
  </si>
  <si>
    <t>MODELO</t>
  </si>
  <si>
    <t>ANO</t>
  </si>
  <si>
    <t>COD_FIPE</t>
  </si>
  <si>
    <t>MES_REF_FIPE</t>
  </si>
  <si>
    <t>VALOR_SEGURADO</t>
  </si>
  <si>
    <t>CIDADE_ORIGEM</t>
  </si>
  <si>
    <t>UF_ORIGEM</t>
  </si>
  <si>
    <t>CIDADE_DESTINO</t>
  </si>
  <si>
    <t>UF_DESTINO</t>
  </si>
  <si>
    <t>VALOR_FRETE_ORIGINAL</t>
  </si>
  <si>
    <t>VALOR_FRETE</t>
  </si>
  <si>
    <t>KM_TOTAL</t>
  </si>
  <si>
    <t>STATUS_OPERACIONAL</t>
  </si>
  <si>
    <t>DATA_CONFIRMACAO_ROTA</t>
  </si>
  <si>
    <t>PREVISAO_COLETA</t>
  </si>
  <si>
    <t>DATA_COLETA_REAL</t>
  </si>
  <si>
    <t>PREVISAO_ENTREGA</t>
  </si>
  <si>
    <t>DATA_ENTREGA_REAL</t>
  </si>
  <si>
    <t>VALOR_SEGURO</t>
  </si>
  <si>
    <t>CUSTO_EXECUTANTES</t>
  </si>
  <si>
    <t>CUSTOS_EMPRESA</t>
  </si>
  <si>
    <t>MARGEM_ITEM</t>
  </si>
  <si>
    <t>CHECK_RATEIO</t>
  </si>
  <si>
    <t>CONTROLE_FRETE</t>
  </si>
  <si>
    <t>IT-001</t>
  </si>
  <si>
    <t>9BW111111X1111111</t>
  </si>
  <si>
    <t>ABC-1111</t>
  </si>
  <si>
    <t>Beta</t>
  </si>
  <si>
    <t>Compacto 1.0</t>
  </si>
  <si>
    <t>SEMINOVO</t>
  </si>
  <si>
    <t>001234-5</t>
  </si>
  <si>
    <t>07/2026</t>
  </si>
  <si>
    <t>ENTREGUE</t>
  </si>
  <si>
    <t>IT-002</t>
  </si>
  <si>
    <t>9BW222222X2222222</t>
  </si>
  <si>
    <t>DEF-2222</t>
  </si>
  <si>
    <t>SUV 2.0</t>
  </si>
  <si>
    <t>002345-6</t>
  </si>
  <si>
    <t>IT-003</t>
  </si>
  <si>
    <t>9BW333333X3333333</t>
  </si>
  <si>
    <t>GHI-3333</t>
  </si>
  <si>
    <t>Hatch 1.6</t>
  </si>
  <si>
    <t>003456-7</t>
  </si>
  <si>
    <t>IT-004</t>
  </si>
  <si>
    <t>9BW444444X4444444</t>
  </si>
  <si>
    <t>JKL-4444</t>
  </si>
  <si>
    <t>Sedan 1.8</t>
  </si>
  <si>
    <t>004567-8</t>
  </si>
  <si>
    <t>IT-005</t>
  </si>
  <si>
    <t>9BW555555X5555555</t>
  </si>
  <si>
    <t>MNO-5555</t>
  </si>
  <si>
    <t>SUV Compacto</t>
  </si>
  <si>
    <t>005678-9</t>
  </si>
  <si>
    <t>IT-006</t>
  </si>
  <si>
    <t>9BW666666X6666666</t>
  </si>
  <si>
    <t>PQR-6666</t>
  </si>
  <si>
    <t>Picape 2.8</t>
  </si>
  <si>
    <t>006789-0</t>
  </si>
  <si>
    <t>IT-007</t>
  </si>
  <si>
    <t>9BW777777X7777777</t>
  </si>
  <si>
    <t>STU-7777</t>
  </si>
  <si>
    <t>Alfa</t>
  </si>
  <si>
    <t>Sedan Plus</t>
  </si>
  <si>
    <t>007890-1</t>
  </si>
  <si>
    <t>EM_TRANSITO</t>
  </si>
  <si>
    <t>IT-008</t>
  </si>
  <si>
    <t>9BW888888X8888888</t>
  </si>
  <si>
    <t>VWX-8888</t>
  </si>
  <si>
    <t>Hatch Sport</t>
  </si>
  <si>
    <t>008901-2</t>
  </si>
  <si>
    <t>IT-009</t>
  </si>
  <si>
    <t>9BW999999X9999999</t>
  </si>
  <si>
    <t>YZA-9999</t>
  </si>
  <si>
    <t>SUV 1.4T</t>
  </si>
  <si>
    <t>009012-3</t>
  </si>
  <si>
    <t>IT-010</t>
  </si>
  <si>
    <t>9BWAAAAAAXAAAAAA1</t>
  </si>
  <si>
    <t>BCD-1010</t>
  </si>
  <si>
    <t>010123-4</t>
  </si>
  <si>
    <t>COLETADO</t>
  </si>
  <si>
    <t>IT-011</t>
  </si>
  <si>
    <t>9BWBBBBBBXBBBBBB2</t>
  </si>
  <si>
    <t>EFG-1111</t>
  </si>
  <si>
    <t>Sedan 2.0</t>
  </si>
  <si>
    <t>011234-5</t>
  </si>
  <si>
    <t>IT-012</t>
  </si>
  <si>
    <t>9BWCCCCCCXCCCCCC3</t>
  </si>
  <si>
    <t>HIJ-1212</t>
  </si>
  <si>
    <t>SUV 2.0 Diesel</t>
  </si>
  <si>
    <t>012345-6</t>
  </si>
  <si>
    <t>ROTA_CONFIRMADA</t>
  </si>
  <si>
    <t>IT-013</t>
  </si>
  <si>
    <t>9BWDDDDDDXDDDDDD4</t>
  </si>
  <si>
    <t>0KM-0001</t>
  </si>
  <si>
    <t>Gama</t>
  </si>
  <si>
    <t>Sedan LX</t>
  </si>
  <si>
    <t>0KM</t>
  </si>
  <si>
    <t>NF</t>
  </si>
  <si>
    <t>AGUARDANDO_ROTA</t>
  </si>
  <si>
    <t>ID_CARGA</t>
  </si>
  <si>
    <t>DATA_PROGRAMADA</t>
  </si>
  <si>
    <t>ROTA</t>
  </si>
  <si>
    <t>ID_MOTORISTA_PRINCIPAL</t>
  </si>
  <si>
    <t>TIPO_OPERACAO</t>
  </si>
  <si>
    <t>RESPONSAVEL_LOGISTICA</t>
  </si>
  <si>
    <t>STATUS_CARGA</t>
  </si>
  <si>
    <t>KM_ROTA</t>
  </si>
  <si>
    <t>RECEITA_ATRIBUIDA</t>
  </si>
  <si>
    <t>CUSTOS_OPERACIONAIS</t>
  </si>
  <si>
    <t>MARGEM_CARGA</t>
  </si>
  <si>
    <t>CHECKLIST_COLETA_OK</t>
  </si>
  <si>
    <t>CHECKLIST_ENTREGA_OK</t>
  </si>
  <si>
    <t>DATA_SAIDA</t>
  </si>
  <si>
    <t>DATA_CHEGADA</t>
  </si>
  <si>
    <t>CAR-001</t>
  </si>
  <si>
    <t>Campinas/SP → Registro/SP (6 veículos)</t>
  </si>
  <si>
    <t>Paula (Logística)</t>
  </si>
  <si>
    <t>CONCLUIDA</t>
  </si>
  <si>
    <t>CAR-002</t>
  </si>
  <si>
    <t>Registro/SP → Cascavel e Maringá/PR</t>
  </si>
  <si>
    <t>CAR-003</t>
  </si>
  <si>
    <t>Curitiba/PR → Cascavel/PR (3 veículos)</t>
  </si>
  <si>
    <t>NAO</t>
  </si>
  <si>
    <t>CAR-004</t>
  </si>
  <si>
    <t>Curitiba/PR → Maringá/PR (2 veículos)</t>
  </si>
  <si>
    <t>CAR-005</t>
  </si>
  <si>
    <t>Curitiba/PR → Maringá/PR (1 veículo)</t>
  </si>
  <si>
    <t>PROGRAMADA</t>
  </si>
  <si>
    <t>ID_TRECHO</t>
  </si>
  <si>
    <t>SEQ</t>
  </si>
  <si>
    <t>DATA_REF</t>
  </si>
  <si>
    <t>ID_LOCAL_ORIGEM</t>
  </si>
  <si>
    <t>ID_LOCAL_DESTINO</t>
  </si>
  <si>
    <t>KM_TRECHO</t>
  </si>
  <si>
    <t>ID_EXECUTANTE</t>
  </si>
  <si>
    <t>PESO_AUTO_KM</t>
  </si>
  <si>
    <t>PESO_MANUAL</t>
  </si>
  <si>
    <t>PESO_APLICADO</t>
  </si>
  <si>
    <t>VALOR_FRETE_ITEM</t>
  </si>
  <si>
    <t>RECEITA_TRECHO</t>
  </si>
  <si>
    <t>PART_NA_CARGA</t>
  </si>
  <si>
    <t>CUSTO_DEDUT_DIRETO</t>
  </si>
  <si>
    <t>CUSTO_DEDUT_RATEADO</t>
  </si>
  <si>
    <t>CUSTO_EMPRESA_TOTAL</t>
  </si>
  <si>
    <t>BASE_CALCULO</t>
  </si>
  <si>
    <t>REGRA</t>
  </si>
  <si>
    <t>REMUNERACAO_EXECUTANTE</t>
  </si>
  <si>
    <t>MARGEM_TRECHO</t>
  </si>
  <si>
    <t>TRE-001</t>
  </si>
  <si>
    <t>TRE-002</t>
  </si>
  <si>
    <t>TRE-003</t>
  </si>
  <si>
    <t>TRE-004</t>
  </si>
  <si>
    <t>TRE-005</t>
  </si>
  <si>
    <t>TRE-006</t>
  </si>
  <si>
    <t>TRE-007</t>
  </si>
  <si>
    <t>TRE-008</t>
  </si>
  <si>
    <t>TRE-009</t>
  </si>
  <si>
    <t>TRE-010</t>
  </si>
  <si>
    <t>TRE-011</t>
  </si>
  <si>
    <t>TRE-012</t>
  </si>
  <si>
    <t>TRE-013</t>
  </si>
  <si>
    <t>TRE-014</t>
  </si>
  <si>
    <t>TRE-015</t>
  </si>
  <si>
    <t>TRE-016</t>
  </si>
  <si>
    <t>TRE-017</t>
  </si>
  <si>
    <t>TRE-018</t>
  </si>
  <si>
    <t>RECEITA_TRECHO = frete do veículo × peso (km). PART_NA_CARGA = participação do veículo na receita daquela carga (é por ela que se rateia pedágio, combustível e pagamento por km).</t>
  </si>
  <si>
    <t>BASE_CALCULO = receita − custos dedutíveis. REMUNERAÇÃO: %_FRETE incide sobre a base; R$/KM paga (km da CARGA × R$/km) rateado entre os veículos; FIXO_VEICULO paga por carro. MARGEM = receita − remuneração − custos da empresa.</t>
  </si>
  <si>
    <t>ID_CUSTO</t>
  </si>
  <si>
    <t>NIVEL</t>
  </si>
  <si>
    <t>DATA</t>
  </si>
  <si>
    <t>DESCRICAO</t>
  </si>
  <si>
    <t>PAGO_POR</t>
  </si>
  <si>
    <t>DEDUZ_BASE</t>
  </si>
  <si>
    <t>COMPROVANTE</t>
  </si>
  <si>
    <t>CUS-001</t>
  </si>
  <si>
    <t>CARGA</t>
  </si>
  <si>
    <t>PEDAGIO</t>
  </si>
  <si>
    <t>Pedágios Campinas → Registro</t>
  </si>
  <si>
    <t>EMPRESA</t>
  </si>
  <si>
    <t>TAG-0031</t>
  </si>
  <si>
    <t>CUS-002</t>
  </si>
  <si>
    <t>COMBUSTIVEL</t>
  </si>
  <si>
    <t>Abastecimento cegonha CEG-002</t>
  </si>
  <si>
    <t>NF-11220</t>
  </si>
  <si>
    <t>CUS-003</t>
  </si>
  <si>
    <t>Pedágios Curitiba → Cascavel</t>
  </si>
  <si>
    <t>TAG-0032</t>
  </si>
  <si>
    <t>CUS-004</t>
  </si>
  <si>
    <t>Abastecimento cegonha CEG-001</t>
  </si>
  <si>
    <t>NF-11245</t>
  </si>
  <si>
    <t>CUS-005</t>
  </si>
  <si>
    <t>ADIANTAMENTO</t>
  </si>
  <si>
    <t>Pedágio + diesel adiantados ao agregado (desconta dele)</t>
  </si>
  <si>
    <t>TAG-0033</t>
  </si>
  <si>
    <t>CUS-006</t>
  </si>
  <si>
    <t>TRECHO</t>
  </si>
  <si>
    <t>ESTADIA</t>
  </si>
  <si>
    <t>3h de espera no pátio (culpa do cliente — repassar)</t>
  </si>
  <si>
    <t>REC-0087</t>
  </si>
  <si>
    <t>NIVEL=CARGA → rateado entre os veículos da carga na proporção da receita. NIVEL=TRECHO → lançado direto naquele veículo. DEDUZ_BASE=SIM desconta do executante; NAO é custo da empresa. Custo de terceiro que ele mesmo banca não se lança aqui.</t>
  </si>
  <si>
    <t>ID_CHECKLIST</t>
  </si>
  <si>
    <t>ETAPA</t>
  </si>
  <si>
    <t>DATA_HORA</t>
  </si>
  <si>
    <t>RESPONSAVEL</t>
  </si>
  <si>
    <t>KM_VEICULO</t>
  </si>
  <si>
    <t>AVARIAS_IDENTIFICADAS</t>
  </si>
  <si>
    <t>LINK_FOTOS</t>
  </si>
  <si>
    <t>ASSINATURA_RECEBEDOR</t>
  </si>
  <si>
    <t>STATUS</t>
  </si>
  <si>
    <t>CHK-001</t>
  </si>
  <si>
    <t>COLETA</t>
  </si>
  <si>
    <t>1/4</t>
  </si>
  <si>
    <t>Risco leve porta traseira esquerda (preexistente)</t>
  </si>
  <si>
    <t>fotos/IT-001-col</t>
  </si>
  <si>
    <t>Pátio Beta</t>
  </si>
  <si>
    <t>CONCLUIDO</t>
  </si>
  <si>
    <t>CHK-002</t>
  </si>
  <si>
    <t>TRANSBORDO</t>
  </si>
  <si>
    <t>João Pereira / Cegonha Sul</t>
  </si>
  <si>
    <t>Sem avaria nova. Para-choque íntegro.</t>
  </si>
  <si>
    <t>fotos/IT-001-tra</t>
  </si>
  <si>
    <t>Cegonha Sul</t>
  </si>
  <si>
    <t>CHK-003</t>
  </si>
  <si>
    <t>ENTREGA</t>
  </si>
  <si>
    <t>Para-choque traseiro riscado — AVARIA NOVA</t>
  </si>
  <si>
    <t>fotos/IT-001-ent</t>
  </si>
  <si>
    <t>CHK-004</t>
  </si>
  <si>
    <t>1/2</t>
  </si>
  <si>
    <t>Retrovisor direito trincado (preexistente)</t>
  </si>
  <si>
    <t>fotos/IT-010-col</t>
  </si>
  <si>
    <t>O checklist de TRANSBORDO é o que resolve a pergunta 'de quem é a avaria': comparando TRANSBORDO com ENTREGA, a avaria do IT-001 apareceu no trecho do terceiro. Sem esse registro fotográfico, a responsabilidade é indefensável.</t>
  </si>
  <si>
    <t>ID_OCORRENCIA</t>
  </si>
  <si>
    <t>APONTADO_POR</t>
  </si>
  <si>
    <t>CUSTO</t>
  </si>
  <si>
    <t>RESPONSABILIDADE</t>
  </si>
  <si>
    <t>ACAO_TOMADA</t>
  </si>
  <si>
    <t>OCO-001</t>
  </si>
  <si>
    <t>AVARIA</t>
  </si>
  <si>
    <t>Para-choque traseiro riscado. Checklist de transbordo comprova que saiu íntegro de Registro.</t>
  </si>
  <si>
    <t>Logística</t>
  </si>
  <si>
    <t>EXECUTANTE</t>
  </si>
  <si>
    <t>APROVADA</t>
  </si>
  <si>
    <t>Indenizado ao cliente; descontado do terceiro no acerto</t>
  </si>
  <si>
    <t>OCO-002</t>
  </si>
  <si>
    <t>Veículo não liberado no pátio no horário agendado (3h de espera)</t>
  </si>
  <si>
    <t>CLIENTE</t>
  </si>
  <si>
    <t>EM_ANALISE</t>
  </si>
  <si>
    <t>Repassar estadia ao cliente</t>
  </si>
  <si>
    <t>RESPONSABILIDADE = EXECUTANTE + STATUS = APROVADA → vira desconto no acerto do período (aba FATURAMENTO_MOTORISTA). Enquanto está EM_ANALISE, não desconta ninguém. Regra de avaria em transbordo ainda a definir com o cliente.</t>
  </si>
  <si>
    <t>USUARIO</t>
  </si>
  <si>
    <t>ENTIDADE</t>
  </si>
  <si>
    <t>ID_REGISTRO</t>
  </si>
  <si>
    <t>CAMPO</t>
  </si>
  <si>
    <t>DE</t>
  </si>
  <si>
    <t>PARA</t>
  </si>
  <si>
    <t>MOTIVO</t>
  </si>
  <si>
    <t>ITENS_PEDIDO</t>
  </si>
  <si>
    <t>Reajuste aprovado pelo cliente</t>
  </si>
  <si>
    <t>CARGAS</t>
  </si>
  <si>
    <t>Troca de escala</t>
  </si>
  <si>
    <t>TRECHOS</t>
  </si>
  <si>
    <t>Transbordo em Registro</t>
  </si>
  <si>
    <t>Repare no IT-007: o frete mudou de 600 para 620 e NÃO existe log. A coluna CONTROLE_FRETE (ITENS_PEDIDO) acusa 'BLOQUEAR: SEM LOG'. Em planilha isso é uma trava visual; em sistema, o campo simplesmente não salva sem justificativa.</t>
  </si>
  <si>
    <t>ACERTO POR MOTORISTA / TERCEIRO — base líquida (frete menos custo)</t>
  </si>
  <si>
    <t>Período (editar em PARAMETROS):</t>
  </si>
  <si>
    <t>QTDE_TRECHOS</t>
  </si>
  <si>
    <t>KM_RODADOS</t>
  </si>
  <si>
    <t>CUSTOS_DEDUZIDOS</t>
  </si>
  <si>
    <t>REMUNERACAO</t>
  </si>
  <si>
    <t>DESCONTO_OCORRENCIAS</t>
  </si>
  <si>
    <t>LIQUIDO_A_RECEBER</t>
  </si>
  <si>
    <t>% SOBRE RECEITA</t>
  </si>
  <si>
    <t>TOTAL</t>
  </si>
  <si>
    <t>LIQUIDO_A_RECEBER = remuneração dos trechos do período − descontos de ocorrência aprovados. É este o valor do acerto.</t>
  </si>
  <si>
    <t>PAINEL DE ROTA, MOTORISTA E RESULTADO</t>
  </si>
  <si>
    <t>Veículos aguardando roteirização</t>
  </si>
  <si>
    <t>Fila do comercial que a logística ainda não fechou</t>
  </si>
  <si>
    <t>Veículos com rota confirmada (a coletar)</t>
  </si>
  <si>
    <t>Gatilho do lembrete ao comercial: carro tem que estar no local</t>
  </si>
  <si>
    <t>Veículos coletados / em trânsito</t>
  </si>
  <si>
    <t>Carga viva na estrada</t>
  </si>
  <si>
    <t>Veículos entregues no período</t>
  </si>
  <si>
    <t>Entregas atrasadas (previsão vencida)</t>
  </si>
  <si>
    <t>Indicador de prazo (OTD)</t>
  </si>
  <si>
    <t>Receita de frete (veículos entregues)</t>
  </si>
  <si>
    <t>Remuneração de motoristas e terceiros</t>
  </si>
  <si>
    <t>Sai do rateio por km, sobre base líquida</t>
  </si>
  <si>
    <t>Custos operacionais pagos pela empresa</t>
  </si>
  <si>
    <t>Pedágio, combustível, estadia (aba CUSTOS)</t>
  </si>
  <si>
    <t>Seguro estimado da carteira</t>
  </si>
  <si>
    <t>Valor segurado (FIPE) × taxa dos PARÂMETROS</t>
  </si>
  <si>
    <t>Margem bruta dos veículos</t>
  </si>
  <si>
    <t>Frete − executantes − custos − seguro</t>
  </si>
  <si>
    <t>Veículos com rateio inconsistente</t>
  </si>
  <si>
    <t>Trava: soma dos trechos ≠ 100%</t>
  </si>
  <si>
    <t>Fretes alterados SEM log (bloquear)</t>
  </si>
  <si>
    <t>Ninguém altera frete sem justificativa</t>
  </si>
  <si>
    <t>Ocorrências em análise</t>
  </si>
  <si>
    <t>Custo de ocorrências no período</t>
  </si>
  <si>
    <t>ROMANEIO DE COLETA E ENTREGA</t>
  </si>
  <si>
    <t>Carga:</t>
  </si>
  <si>
    <t>Data programada</t>
  </si>
  <si>
    <t>Rota</t>
  </si>
  <si>
    <t>Cegonha</t>
  </si>
  <si>
    <t>Motorista / Terceiro</t>
  </si>
  <si>
    <t>Qtde de veículos</t>
  </si>
  <si>
    <t>Receita da carga</t>
  </si>
  <si>
    <t>NA CARGA?</t>
  </si>
  <si>
    <t>PLACA</t>
  </si>
  <si>
    <t>ORIGEM DO TRECHO</t>
  </si>
  <si>
    <t>DESTINO DO TRECHO</t>
  </si>
  <si>
    <t>ENDEREÇO DE ENTREGA</t>
  </si>
  <si>
    <t>Filtre NA CARGA? = SIM para imprimir o romaneio da carga escolhida em B2. Em sistema, sai em PDF direto da carga, com checklist e assinatura.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</si>
</sst>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2" fillId="0" borderId="0" xfId="0" applyFont="1"/>
    <xf numFmtId="10" fontId="5" fillId="3" borderId="1" xfId="0" applyNumberFormat="1" applyFont="1" applyFill="1" applyBorder="1"/>
    <xf numFmtId="0" fontId="2" fillId="0" borderId="0" xfId="0" applyFont="1" applyAlignment="1">
      <alignment wrapText="1"/>
    </xf>
    <xf numFmtId="14" fontId="5" fillId="3" borderId="1" xfId="0" applyNumberFormat="1" applyFont="1" applyFill="1" applyBorder="1"/>
    <xf numFmtId="0" fontId="5" fillId="3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4" fontId="5" fillId="0" borderId="1" xfId="0" applyNumberFormat="1" applyFont="1" applyBorder="1"/>
    <xf numFmtId="2" fontId="5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164" fontId="7" fillId="0" borderId="1" xfId="0" applyNumberFormat="1" applyFont="1" applyBorder="1"/>
    <xf numFmtId="164" fontId="5" fillId="0" borderId="1" xfId="0" applyNumberFormat="1" applyFont="1" applyBorder="1"/>
    <xf numFmtId="14" fontId="7" fillId="0" borderId="1" xfId="0" applyNumberFormat="1" applyFont="1" applyBorder="1"/>
    <xf numFmtId="165" fontId="7" fillId="0" borderId="1" xfId="0" applyNumberFormat="1" applyFont="1" applyBorder="1"/>
    <xf numFmtId="165" fontId="5" fillId="0" borderId="1" xfId="0" applyNumberFormat="1" applyFont="1" applyBorder="1"/>
    <xf numFmtId="2" fontId="7" fillId="0" borderId="1" xfId="0" applyNumberFormat="1" applyFont="1" applyBorder="1"/>
    <xf numFmtId="22" fontId="5" fillId="0" borderId="1" xfId="0" applyNumberFormat="1" applyFont="1" applyBorder="1"/>
    <xf numFmtId="14" fontId="0" fillId="0" borderId="0" xfId="0" applyNumberFormat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opLeftCell="A6" zoomScaleNormal="100" workbookViewId="0"/>
  </sheetViews>
  <sheetFormatPr defaultColWidth="8.7109375" defaultRowHeight="15" x14ac:dyDescent="0.25"/>
  <cols>
    <col min="1" max="1" width="30" customWidth="1"/>
    <col min="2" max="2" width="112" customWidth="1"/>
  </cols>
  <sheetData>
    <row r="1" spans="1:2" ht="15.75" x14ac:dyDescent="0.25">
      <c r="A1" s="1" t="s">
        <v>0</v>
      </c>
      <c r="B1" s="2"/>
    </row>
    <row r="2" spans="1:2" ht="15.75" x14ac:dyDescent="0.25">
      <c r="A2" s="1" t="s">
        <v>1</v>
      </c>
      <c r="B2" s="2"/>
    </row>
    <row r="3" spans="1:2" x14ac:dyDescent="0.25">
      <c r="A3" s="3"/>
      <c r="B3" s="2"/>
    </row>
    <row r="4" spans="1:2" x14ac:dyDescent="0.25">
      <c r="A4" s="3" t="s">
        <v>2</v>
      </c>
      <c r="B4" s="2" t="s">
        <v>3</v>
      </c>
    </row>
    <row r="5" spans="1:2" x14ac:dyDescent="0.25">
      <c r="A5" s="3"/>
      <c r="B5" s="2"/>
    </row>
    <row r="6" spans="1:2" ht="25.5" x14ac:dyDescent="0.25">
      <c r="A6" s="3" t="s">
        <v>4</v>
      </c>
      <c r="B6" s="2" t="s">
        <v>5</v>
      </c>
    </row>
    <row r="7" spans="1:2" x14ac:dyDescent="0.25">
      <c r="A7" s="3"/>
      <c r="B7" s="2"/>
    </row>
    <row r="8" spans="1:2" ht="25.5" x14ac:dyDescent="0.25">
      <c r="A8" s="3" t="s">
        <v>6</v>
      </c>
      <c r="B8" s="2" t="s">
        <v>7</v>
      </c>
    </row>
    <row r="9" spans="1:2" x14ac:dyDescent="0.25">
      <c r="A9" s="3"/>
      <c r="B9" s="2" t="s">
        <v>8</v>
      </c>
    </row>
    <row r="10" spans="1:2" x14ac:dyDescent="0.25">
      <c r="A10" s="3"/>
      <c r="B10" s="2"/>
    </row>
    <row r="11" spans="1:2" x14ac:dyDescent="0.25">
      <c r="A11" s="3" t="s">
        <v>9</v>
      </c>
      <c r="B11" s="2" t="s">
        <v>10</v>
      </c>
    </row>
    <row r="12" spans="1:2" x14ac:dyDescent="0.25">
      <c r="A12" s="3"/>
      <c r="B12" s="2" t="s">
        <v>11</v>
      </c>
    </row>
    <row r="13" spans="1:2" x14ac:dyDescent="0.25">
      <c r="A13" s="3"/>
      <c r="B13" s="2" t="s">
        <v>12</v>
      </c>
    </row>
    <row r="14" spans="1:2" x14ac:dyDescent="0.25">
      <c r="A14" s="3"/>
      <c r="B14" s="2" t="s">
        <v>13</v>
      </c>
    </row>
    <row r="15" spans="1:2" x14ac:dyDescent="0.25">
      <c r="A15" s="3"/>
      <c r="B15" s="2" t="s">
        <v>14</v>
      </c>
    </row>
    <row r="16" spans="1:2" x14ac:dyDescent="0.25">
      <c r="A16" s="3"/>
      <c r="B16" s="2" t="s">
        <v>15</v>
      </c>
    </row>
    <row r="17" spans="1:2" x14ac:dyDescent="0.25">
      <c r="A17" s="3"/>
      <c r="B17" s="2"/>
    </row>
    <row r="18" spans="1:2" ht="25.5" x14ac:dyDescent="0.25">
      <c r="A18" s="3" t="s">
        <v>16</v>
      </c>
      <c r="B18" s="2" t="s">
        <v>17</v>
      </c>
    </row>
    <row r="19" spans="1:2" ht="25.5" x14ac:dyDescent="0.25">
      <c r="A19" s="3"/>
      <c r="B19" s="2" t="s">
        <v>18</v>
      </c>
    </row>
    <row r="20" spans="1:2" ht="25.5" x14ac:dyDescent="0.25">
      <c r="A20" s="3"/>
      <c r="B20" s="2" t="s">
        <v>19</v>
      </c>
    </row>
    <row r="21" spans="1:2" x14ac:dyDescent="0.25">
      <c r="A21" s="3"/>
      <c r="B21" s="2"/>
    </row>
    <row r="22" spans="1:2" ht="25.5" x14ac:dyDescent="0.25">
      <c r="A22" s="3" t="s">
        <v>20</v>
      </c>
      <c r="B22" s="2" t="s">
        <v>21</v>
      </c>
    </row>
    <row r="23" spans="1:2" ht="25.5" x14ac:dyDescent="0.25">
      <c r="A23" s="3"/>
      <c r="B23" s="2" t="s">
        <v>22</v>
      </c>
    </row>
    <row r="24" spans="1:2" x14ac:dyDescent="0.25">
      <c r="A24" s="3"/>
      <c r="B24" s="2"/>
    </row>
    <row r="25" spans="1:2" x14ac:dyDescent="0.25">
      <c r="A25" s="3" t="s">
        <v>23</v>
      </c>
      <c r="B25" s="2" t="s">
        <v>24</v>
      </c>
    </row>
    <row r="26" spans="1:2" x14ac:dyDescent="0.25">
      <c r="A26" s="3"/>
      <c r="B26" s="2" t="s">
        <v>25</v>
      </c>
    </row>
    <row r="27" spans="1:2" x14ac:dyDescent="0.25">
      <c r="A27" s="3"/>
      <c r="B27" s="2" t="s">
        <v>26</v>
      </c>
    </row>
    <row r="28" spans="1:2" x14ac:dyDescent="0.25">
      <c r="A28" s="3"/>
      <c r="B28" s="2" t="s">
        <v>27</v>
      </c>
    </row>
    <row r="29" spans="1:2" x14ac:dyDescent="0.25">
      <c r="A29" s="3"/>
      <c r="B29" s="2"/>
    </row>
    <row r="30" spans="1:2" ht="25.5" x14ac:dyDescent="0.25">
      <c r="A30" s="3" t="s">
        <v>28</v>
      </c>
      <c r="B30" s="2" t="s">
        <v>29</v>
      </c>
    </row>
    <row r="31" spans="1:2" x14ac:dyDescent="0.25">
      <c r="A31" s="3"/>
      <c r="B31" s="2"/>
    </row>
    <row r="32" spans="1:2" x14ac:dyDescent="0.25">
      <c r="A32" s="3" t="s">
        <v>30</v>
      </c>
      <c r="B32" s="2" t="s">
        <v>31</v>
      </c>
    </row>
    <row r="33" spans="1:2" x14ac:dyDescent="0.25">
      <c r="A33" s="3"/>
      <c r="B33" s="2" t="s">
        <v>32</v>
      </c>
    </row>
    <row r="34" spans="1:2" x14ac:dyDescent="0.25">
      <c r="A34" s="3"/>
      <c r="B3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/>
  </sheetViews>
  <sheetFormatPr defaultColWidth="8.7109375" defaultRowHeight="15" x14ac:dyDescent="0.25"/>
  <cols>
    <col min="1" max="1" width="36" customWidth="1"/>
    <col min="2" max="2" width="18" customWidth="1"/>
    <col min="3" max="3" width="76" customWidth="1"/>
  </cols>
  <sheetData>
    <row r="1" spans="1:3" x14ac:dyDescent="0.25">
      <c r="A1" s="4" t="s">
        <v>34</v>
      </c>
      <c r="B1" s="4" t="s">
        <v>35</v>
      </c>
      <c r="C1" s="4" t="s">
        <v>36</v>
      </c>
    </row>
    <row r="2" spans="1:3" x14ac:dyDescent="0.25">
      <c r="A2" s="5" t="s">
        <v>37</v>
      </c>
      <c r="B2" s="6">
        <v>2.9999999999999997E-4</v>
      </c>
      <c r="C2" s="7" t="s">
        <v>38</v>
      </c>
    </row>
    <row r="3" spans="1:3" x14ac:dyDescent="0.25">
      <c r="A3" s="5" t="s">
        <v>39</v>
      </c>
      <c r="B3" s="8">
        <v>46204</v>
      </c>
      <c r="C3" s="7" t="s">
        <v>40</v>
      </c>
    </row>
    <row r="4" spans="1:3" x14ac:dyDescent="0.25">
      <c r="A4" s="5" t="s">
        <v>41</v>
      </c>
      <c r="B4" s="8">
        <v>46234</v>
      </c>
      <c r="C4" s="7" t="s">
        <v>42</v>
      </c>
    </row>
    <row r="5" spans="1:3" x14ac:dyDescent="0.25">
      <c r="A5" s="5" t="s">
        <v>43</v>
      </c>
      <c r="B5" s="9" t="s">
        <v>44</v>
      </c>
      <c r="C5" s="7" t="s">
        <v>45</v>
      </c>
    </row>
    <row r="6" spans="1:3" x14ac:dyDescent="0.25">
      <c r="A6" s="5" t="s">
        <v>46</v>
      </c>
      <c r="B6" s="9" t="s">
        <v>47</v>
      </c>
      <c r="C6" s="7" t="s">
        <v>48</v>
      </c>
    </row>
    <row r="7" spans="1:3" ht="26.25" x14ac:dyDescent="0.25">
      <c r="A7" s="5" t="s">
        <v>49</v>
      </c>
      <c r="B7" s="9" t="s">
        <v>50</v>
      </c>
      <c r="C7" s="7" t="s">
        <v>51</v>
      </c>
    </row>
    <row r="8" spans="1:3" ht="26.25" x14ac:dyDescent="0.25">
      <c r="A8" s="5" t="s">
        <v>52</v>
      </c>
      <c r="B8" s="9" t="s">
        <v>53</v>
      </c>
      <c r="C8" s="7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2" customWidth="1"/>
    <col min="2" max="2" width="30" customWidth="1"/>
    <col min="3" max="4" width="20" customWidth="1"/>
    <col min="5" max="5" width="26" customWidth="1"/>
    <col min="6" max="8" width="16" customWidth="1"/>
    <col min="9" max="9" width="10" customWidth="1"/>
  </cols>
  <sheetData>
    <row r="1" spans="1:9" ht="31.5" customHeight="1" x14ac:dyDescent="0.25">
      <c r="A1" s="10" t="s">
        <v>55</v>
      </c>
      <c r="B1" s="10" t="s">
        <v>56</v>
      </c>
      <c r="C1" s="10" t="s">
        <v>57</v>
      </c>
      <c r="D1" s="10" t="s">
        <v>58</v>
      </c>
      <c r="E1" s="10" t="s">
        <v>59</v>
      </c>
      <c r="F1" s="10" t="s">
        <v>60</v>
      </c>
      <c r="G1" s="10" t="s">
        <v>61</v>
      </c>
      <c r="H1" s="10" t="s">
        <v>62</v>
      </c>
      <c r="I1" s="10" t="s">
        <v>63</v>
      </c>
    </row>
    <row r="2" spans="1:9" x14ac:dyDescent="0.25">
      <c r="A2" s="11" t="s">
        <v>64</v>
      </c>
      <c r="B2" s="11" t="s">
        <v>65</v>
      </c>
      <c r="C2" s="11" t="s">
        <v>66</v>
      </c>
      <c r="D2" s="11" t="s">
        <v>67</v>
      </c>
      <c r="E2" s="11" t="s">
        <v>68</v>
      </c>
      <c r="F2" s="11" t="s">
        <v>69</v>
      </c>
      <c r="G2" s="11">
        <v>21</v>
      </c>
      <c r="H2" s="11" t="s">
        <v>70</v>
      </c>
      <c r="I2" s="11" t="s">
        <v>71</v>
      </c>
    </row>
    <row r="3" spans="1:9" x14ac:dyDescent="0.25">
      <c r="A3" s="11" t="s">
        <v>72</v>
      </c>
      <c r="B3" s="11" t="s">
        <v>73</v>
      </c>
      <c r="C3" s="11" t="s">
        <v>74</v>
      </c>
      <c r="D3" s="11" t="s">
        <v>75</v>
      </c>
      <c r="E3" s="11" t="s">
        <v>76</v>
      </c>
      <c r="F3" s="11" t="s">
        <v>77</v>
      </c>
      <c r="G3" s="11">
        <v>30</v>
      </c>
      <c r="H3" s="11" t="s">
        <v>78</v>
      </c>
      <c r="I3" s="11" t="s">
        <v>71</v>
      </c>
    </row>
    <row r="4" spans="1:9" x14ac:dyDescent="0.25">
      <c r="A4" s="11" t="s">
        <v>79</v>
      </c>
      <c r="B4" s="11" t="s">
        <v>80</v>
      </c>
      <c r="C4" s="11" t="s">
        <v>81</v>
      </c>
      <c r="D4" s="11" t="s">
        <v>82</v>
      </c>
      <c r="E4" s="11" t="s">
        <v>83</v>
      </c>
      <c r="F4" s="11" t="s">
        <v>84</v>
      </c>
      <c r="G4" s="11">
        <v>45</v>
      </c>
      <c r="H4" s="11" t="s">
        <v>85</v>
      </c>
      <c r="I4" s="11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1" customWidth="1"/>
    <col min="2" max="2" width="28" customWidth="1"/>
    <col min="3" max="3" width="16" customWidth="1"/>
    <col min="4" max="4" width="32" customWidth="1"/>
    <col min="5" max="5" width="16" customWidth="1"/>
    <col min="6" max="6" width="7" customWidth="1"/>
    <col min="7" max="7" width="13" customWidth="1"/>
    <col min="8" max="9" width="16" customWidth="1"/>
    <col min="10" max="10" width="20" customWidth="1"/>
    <col min="11" max="11" width="28" customWidth="1"/>
  </cols>
  <sheetData>
    <row r="1" spans="1:11" ht="31.5" customHeight="1" x14ac:dyDescent="0.25">
      <c r="A1" s="10" t="s">
        <v>86</v>
      </c>
      <c r="B1" s="10" t="s">
        <v>87</v>
      </c>
      <c r="C1" s="10" t="s">
        <v>88</v>
      </c>
      <c r="D1" s="10" t="s">
        <v>89</v>
      </c>
      <c r="E1" s="10" t="s">
        <v>90</v>
      </c>
      <c r="F1" s="10" t="s">
        <v>91</v>
      </c>
      <c r="G1" s="10" t="s">
        <v>92</v>
      </c>
      <c r="H1" s="10" t="s">
        <v>58</v>
      </c>
      <c r="I1" s="10" t="s">
        <v>60</v>
      </c>
      <c r="J1" s="10" t="s">
        <v>93</v>
      </c>
      <c r="K1" s="10" t="s">
        <v>94</v>
      </c>
    </row>
    <row r="2" spans="1:11" x14ac:dyDescent="0.25">
      <c r="A2" s="11" t="s">
        <v>95</v>
      </c>
      <c r="B2" s="11" t="s">
        <v>96</v>
      </c>
      <c r="C2" s="11" t="s">
        <v>97</v>
      </c>
      <c r="D2" s="11" t="s">
        <v>98</v>
      </c>
      <c r="E2" s="11" t="s">
        <v>99</v>
      </c>
      <c r="F2" s="11" t="s">
        <v>100</v>
      </c>
      <c r="G2" s="11" t="s">
        <v>101</v>
      </c>
      <c r="H2" s="11" t="s">
        <v>102</v>
      </c>
      <c r="I2" s="11" t="s">
        <v>103</v>
      </c>
      <c r="J2" s="11" t="s">
        <v>104</v>
      </c>
      <c r="K2" s="11" t="s">
        <v>105</v>
      </c>
    </row>
    <row r="3" spans="1:11" x14ac:dyDescent="0.25">
      <c r="A3" s="11" t="s">
        <v>106</v>
      </c>
      <c r="B3" s="11" t="s">
        <v>107</v>
      </c>
      <c r="C3" s="11" t="s">
        <v>108</v>
      </c>
      <c r="D3" s="11" t="s">
        <v>109</v>
      </c>
      <c r="E3" s="11" t="s">
        <v>110</v>
      </c>
      <c r="F3" s="11" t="s">
        <v>111</v>
      </c>
      <c r="G3" s="11" t="s">
        <v>112</v>
      </c>
      <c r="H3" s="11" t="s">
        <v>113</v>
      </c>
      <c r="I3" s="11" t="s">
        <v>77</v>
      </c>
      <c r="J3" s="11" t="s">
        <v>114</v>
      </c>
      <c r="K3" s="11" t="s">
        <v>115</v>
      </c>
    </row>
    <row r="4" spans="1:11" x14ac:dyDescent="0.25">
      <c r="A4" s="11" t="s">
        <v>116</v>
      </c>
      <c r="B4" s="11" t="s">
        <v>117</v>
      </c>
      <c r="C4" s="11" t="s">
        <v>108</v>
      </c>
      <c r="D4" s="11" t="s">
        <v>118</v>
      </c>
      <c r="E4" s="11" t="s">
        <v>119</v>
      </c>
      <c r="F4" s="11" t="s">
        <v>111</v>
      </c>
      <c r="G4" s="11" t="s">
        <v>120</v>
      </c>
      <c r="H4" s="11" t="s">
        <v>121</v>
      </c>
      <c r="I4" s="11" t="s">
        <v>69</v>
      </c>
      <c r="J4" s="11" t="s">
        <v>122</v>
      </c>
      <c r="K4" s="11" t="s">
        <v>123</v>
      </c>
    </row>
    <row r="5" spans="1:11" x14ac:dyDescent="0.25">
      <c r="A5" s="11" t="s">
        <v>124</v>
      </c>
      <c r="B5" s="11" t="s">
        <v>125</v>
      </c>
      <c r="C5" s="11" t="s">
        <v>97</v>
      </c>
      <c r="D5" s="11" t="s">
        <v>126</v>
      </c>
      <c r="E5" s="11" t="s">
        <v>127</v>
      </c>
      <c r="F5" s="11" t="s">
        <v>100</v>
      </c>
      <c r="G5" s="11" t="s">
        <v>128</v>
      </c>
      <c r="H5" s="11" t="s">
        <v>129</v>
      </c>
      <c r="I5" s="11" t="s">
        <v>130</v>
      </c>
      <c r="J5" s="11" t="s">
        <v>131</v>
      </c>
      <c r="K5" s="11" t="s">
        <v>132</v>
      </c>
    </row>
    <row r="6" spans="1:11" x14ac:dyDescent="0.25">
      <c r="A6" s="11" t="s">
        <v>133</v>
      </c>
      <c r="B6" s="11" t="s">
        <v>134</v>
      </c>
      <c r="C6" s="11" t="s">
        <v>108</v>
      </c>
      <c r="D6" s="11" t="s">
        <v>135</v>
      </c>
      <c r="E6" s="11" t="s">
        <v>136</v>
      </c>
      <c r="F6" s="11" t="s">
        <v>111</v>
      </c>
      <c r="G6" s="11" t="s">
        <v>137</v>
      </c>
      <c r="H6" s="11" t="s">
        <v>138</v>
      </c>
      <c r="I6" s="11" t="s">
        <v>139</v>
      </c>
      <c r="J6" s="11" t="s">
        <v>114</v>
      </c>
      <c r="K6" s="11" t="s">
        <v>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4" customWidth="1"/>
    <col min="2" max="2" width="26" customWidth="1"/>
    <col min="3" max="3" width="16" customWidth="1"/>
    <col min="4" max="4" width="12" customWidth="1"/>
    <col min="5" max="5" width="14" customWidth="1"/>
    <col min="6" max="6" width="13" customWidth="1"/>
    <col min="7" max="7" width="26" customWidth="1"/>
    <col min="8" max="8" width="19" customWidth="1"/>
    <col min="9" max="9" width="12" customWidth="1"/>
    <col min="10" max="10" width="22" customWidth="1"/>
    <col min="11" max="11" width="8" customWidth="1"/>
  </cols>
  <sheetData>
    <row r="1" spans="1:11" ht="31.5" customHeight="1" x14ac:dyDescent="0.25">
      <c r="A1" s="10" t="s">
        <v>140</v>
      </c>
      <c r="B1" s="10" t="s">
        <v>87</v>
      </c>
      <c r="C1" s="10" t="s">
        <v>141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  <c r="I1" s="10" t="s">
        <v>147</v>
      </c>
      <c r="J1" s="10" t="s">
        <v>148</v>
      </c>
      <c r="K1" s="10" t="s">
        <v>63</v>
      </c>
    </row>
    <row r="2" spans="1:11" x14ac:dyDescent="0.25">
      <c r="A2" s="11" t="s">
        <v>149</v>
      </c>
      <c r="B2" s="11" t="s">
        <v>150</v>
      </c>
      <c r="C2" s="11" t="s">
        <v>151</v>
      </c>
      <c r="D2" s="11" t="s">
        <v>152</v>
      </c>
      <c r="E2" s="12">
        <v>46537</v>
      </c>
      <c r="F2" s="11" t="s">
        <v>153</v>
      </c>
      <c r="G2" s="11" t="s">
        <v>123</v>
      </c>
      <c r="H2" s="11" t="s">
        <v>154</v>
      </c>
      <c r="I2" s="13">
        <v>0.12</v>
      </c>
      <c r="J2" s="11" t="s">
        <v>151</v>
      </c>
      <c r="K2" s="11" t="s">
        <v>71</v>
      </c>
    </row>
    <row r="3" spans="1:11" x14ac:dyDescent="0.25">
      <c r="A3" s="11" t="s">
        <v>155</v>
      </c>
      <c r="B3" s="11" t="s">
        <v>156</v>
      </c>
      <c r="C3" s="11" t="s">
        <v>157</v>
      </c>
      <c r="D3" s="11" t="s">
        <v>158</v>
      </c>
      <c r="E3" s="12">
        <v>46341</v>
      </c>
      <c r="F3" s="11" t="s">
        <v>153</v>
      </c>
      <c r="G3" s="11" t="s">
        <v>123</v>
      </c>
      <c r="H3" s="11" t="s">
        <v>159</v>
      </c>
      <c r="I3" s="13">
        <v>1.1000000000000001</v>
      </c>
      <c r="J3" s="11" t="s">
        <v>157</v>
      </c>
      <c r="K3" s="11" t="s">
        <v>71</v>
      </c>
    </row>
    <row r="4" spans="1:11" x14ac:dyDescent="0.25">
      <c r="A4" s="11" t="s">
        <v>160</v>
      </c>
      <c r="B4" s="11" t="s">
        <v>161</v>
      </c>
      <c r="C4" s="11" t="s">
        <v>162</v>
      </c>
      <c r="D4" s="11" t="s">
        <v>163</v>
      </c>
      <c r="E4" s="12">
        <v>46803</v>
      </c>
      <c r="F4" s="11" t="s">
        <v>164</v>
      </c>
      <c r="G4" s="11" t="s">
        <v>123</v>
      </c>
      <c r="H4" s="11" t="s">
        <v>154</v>
      </c>
      <c r="I4" s="13">
        <v>0.65</v>
      </c>
      <c r="J4" s="11" t="s">
        <v>162</v>
      </c>
      <c r="K4" s="11" t="s">
        <v>71</v>
      </c>
    </row>
    <row r="5" spans="1:11" x14ac:dyDescent="0.25">
      <c r="A5" s="11" t="s">
        <v>165</v>
      </c>
      <c r="B5" s="11" t="s">
        <v>166</v>
      </c>
      <c r="C5" s="11" t="s">
        <v>123</v>
      </c>
      <c r="D5" s="11" t="s">
        <v>123</v>
      </c>
      <c r="E5" s="11"/>
      <c r="F5" s="11" t="s">
        <v>167</v>
      </c>
      <c r="G5" s="11" t="s">
        <v>168</v>
      </c>
      <c r="H5" s="11" t="s">
        <v>154</v>
      </c>
      <c r="I5" s="13">
        <v>0.7</v>
      </c>
      <c r="J5" s="11" t="s">
        <v>169</v>
      </c>
      <c r="K5" s="11" t="s">
        <v>71</v>
      </c>
    </row>
    <row r="6" spans="1:11" x14ac:dyDescent="0.25">
      <c r="A6" s="11" t="s">
        <v>170</v>
      </c>
      <c r="B6" s="11" t="s">
        <v>171</v>
      </c>
      <c r="C6" s="11" t="s">
        <v>123</v>
      </c>
      <c r="D6" s="11" t="s">
        <v>123</v>
      </c>
      <c r="E6" s="11"/>
      <c r="F6" s="11" t="s">
        <v>167</v>
      </c>
      <c r="G6" s="11" t="s">
        <v>172</v>
      </c>
      <c r="H6" s="11" t="s">
        <v>173</v>
      </c>
      <c r="I6" s="13">
        <v>320</v>
      </c>
      <c r="J6" s="11" t="s">
        <v>174</v>
      </c>
      <c r="K6" s="11" t="s">
        <v>71</v>
      </c>
    </row>
    <row r="8" spans="1:11" x14ac:dyDescent="0.25">
      <c r="B8" s="14" t="s">
        <v>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3" customWidth="1"/>
    <col min="2" max="3" width="15" customWidth="1"/>
    <col min="4" max="4" width="18" customWidth="1"/>
    <col min="5" max="5" width="17" customWidth="1"/>
    <col min="6" max="6" width="14" customWidth="1"/>
    <col min="7" max="7" width="28" customWidth="1"/>
    <col min="8" max="8" width="8" customWidth="1"/>
  </cols>
  <sheetData>
    <row r="1" spans="1:8" ht="31.5" customHeight="1" x14ac:dyDescent="0.25">
      <c r="A1" s="10" t="s">
        <v>176</v>
      </c>
      <c r="B1" s="10" t="s">
        <v>177</v>
      </c>
      <c r="C1" s="10" t="s">
        <v>178</v>
      </c>
      <c r="D1" s="10" t="s">
        <v>88</v>
      </c>
      <c r="E1" s="10" t="s">
        <v>179</v>
      </c>
      <c r="F1" s="10" t="s">
        <v>180</v>
      </c>
      <c r="G1" s="10" t="s">
        <v>181</v>
      </c>
      <c r="H1" s="10" t="s">
        <v>63</v>
      </c>
    </row>
    <row r="2" spans="1:8" x14ac:dyDescent="0.25">
      <c r="A2" s="11" t="s">
        <v>182</v>
      </c>
      <c r="B2" s="11" t="s">
        <v>183</v>
      </c>
      <c r="C2" s="11" t="s">
        <v>184</v>
      </c>
      <c r="D2" s="11" t="s">
        <v>185</v>
      </c>
      <c r="E2" s="11">
        <v>8</v>
      </c>
      <c r="F2" s="11" t="s">
        <v>153</v>
      </c>
      <c r="G2" s="11" t="s">
        <v>123</v>
      </c>
      <c r="H2" s="11" t="s">
        <v>71</v>
      </c>
    </row>
    <row r="3" spans="1:8" x14ac:dyDescent="0.25">
      <c r="A3" s="11" t="s">
        <v>186</v>
      </c>
      <c r="B3" s="11" t="s">
        <v>187</v>
      </c>
      <c r="C3" s="11" t="s">
        <v>188</v>
      </c>
      <c r="D3" s="11" t="s">
        <v>189</v>
      </c>
      <c r="E3" s="11">
        <v>11</v>
      </c>
      <c r="F3" s="11" t="s">
        <v>153</v>
      </c>
      <c r="G3" s="11" t="s">
        <v>123</v>
      </c>
      <c r="H3" s="11" t="s">
        <v>71</v>
      </c>
    </row>
    <row r="4" spans="1:8" x14ac:dyDescent="0.25">
      <c r="A4" s="11" t="s">
        <v>190</v>
      </c>
      <c r="B4" s="11" t="s">
        <v>191</v>
      </c>
      <c r="C4" s="11" t="s">
        <v>192</v>
      </c>
      <c r="D4" s="11" t="s">
        <v>185</v>
      </c>
      <c r="E4" s="11">
        <v>8</v>
      </c>
      <c r="F4" s="11" t="s">
        <v>167</v>
      </c>
      <c r="G4" s="11" t="s">
        <v>168</v>
      </c>
      <c r="H4" s="11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ColWidth="8.7109375" defaultRowHeight="15" x14ac:dyDescent="0.25"/>
  <cols>
    <col min="1" max="1" width="11" customWidth="1"/>
    <col min="2" max="2" width="17" customWidth="1"/>
    <col min="3" max="3" width="11" customWidth="1"/>
    <col min="4" max="5" width="21" customWidth="1"/>
    <col min="6" max="6" width="17" customWidth="1"/>
    <col min="7" max="7" width="16" customWidth="1"/>
    <col min="8" max="8" width="13" customWidth="1"/>
    <col min="9" max="9" width="18" customWidth="1"/>
    <col min="10" max="10" width="17" customWidth="1"/>
    <col min="11" max="11" width="30" customWidth="1"/>
  </cols>
  <sheetData>
    <row r="1" spans="1:11" ht="31.5" customHeight="1" x14ac:dyDescent="0.25">
      <c r="A1" s="10" t="s">
        <v>193</v>
      </c>
      <c r="B1" s="10" t="s">
        <v>194</v>
      </c>
      <c r="C1" s="10" t="s">
        <v>55</v>
      </c>
      <c r="D1" s="10" t="s">
        <v>195</v>
      </c>
      <c r="E1" s="10" t="s">
        <v>196</v>
      </c>
      <c r="F1" s="10" t="s">
        <v>197</v>
      </c>
      <c r="G1" s="10" t="s">
        <v>198</v>
      </c>
      <c r="H1" s="10" t="s">
        <v>199</v>
      </c>
      <c r="I1" s="10" t="s">
        <v>200</v>
      </c>
      <c r="J1" s="10" t="s">
        <v>201</v>
      </c>
      <c r="K1" s="10" t="s">
        <v>202</v>
      </c>
    </row>
    <row r="2" spans="1:11" x14ac:dyDescent="0.25">
      <c r="A2" s="11" t="s">
        <v>203</v>
      </c>
      <c r="B2" s="12">
        <v>46204</v>
      </c>
      <c r="C2" s="11" t="s">
        <v>64</v>
      </c>
      <c r="D2" s="11" t="s">
        <v>67</v>
      </c>
      <c r="E2" s="11" t="s">
        <v>204</v>
      </c>
      <c r="F2" s="11" t="s">
        <v>205</v>
      </c>
      <c r="G2" s="12">
        <v>46213</v>
      </c>
      <c r="H2" s="15">
        <f>COUNTIFS(ITENS_PEDIDO!$B:$B,$A2)</f>
        <v>6</v>
      </c>
      <c r="I2" s="16">
        <f>SUMIFS(ITENS_PEDIDO!$Q:$Q,ITENS_PEDIDO!$B:$B,$A2)</f>
        <v>7650</v>
      </c>
      <c r="J2" s="15">
        <f>COUNTIFS(ITENS_PEDIDO!$B:$B,$A2,ITENS_PEDIDO!$S:$S,"ENTREGUE")</f>
        <v>6</v>
      </c>
      <c r="K2" s="11" t="s">
        <v>206</v>
      </c>
    </row>
    <row r="3" spans="1:11" x14ac:dyDescent="0.25">
      <c r="A3" s="11" t="s">
        <v>207</v>
      </c>
      <c r="B3" s="12">
        <v>46206</v>
      </c>
      <c r="C3" s="11" t="s">
        <v>72</v>
      </c>
      <c r="D3" s="11" t="s">
        <v>75</v>
      </c>
      <c r="E3" s="11" t="s">
        <v>208</v>
      </c>
      <c r="F3" s="11" t="s">
        <v>205</v>
      </c>
      <c r="G3" s="12">
        <v>46215</v>
      </c>
      <c r="H3" s="15">
        <f>COUNTIFS(ITENS_PEDIDO!$B:$B,$A3)</f>
        <v>6</v>
      </c>
      <c r="I3" s="16">
        <f>SUMIFS(ITENS_PEDIDO!$Q:$Q,ITENS_PEDIDO!$B:$B,$A3)</f>
        <v>4300</v>
      </c>
      <c r="J3" s="15">
        <f>COUNTIFS(ITENS_PEDIDO!$B:$B,$A3,ITENS_PEDIDO!$S:$S,"ENTREGUE")</f>
        <v>0</v>
      </c>
      <c r="K3" s="11" t="s">
        <v>209</v>
      </c>
    </row>
    <row r="4" spans="1:11" x14ac:dyDescent="0.25">
      <c r="A4" s="11" t="s">
        <v>210</v>
      </c>
      <c r="B4" s="12">
        <v>46211</v>
      </c>
      <c r="C4" s="11" t="s">
        <v>79</v>
      </c>
      <c r="D4" s="11" t="s">
        <v>82</v>
      </c>
      <c r="E4" s="11" t="s">
        <v>204</v>
      </c>
      <c r="F4" s="11" t="s">
        <v>211</v>
      </c>
      <c r="G4" s="12">
        <v>46223</v>
      </c>
      <c r="H4" s="15">
        <f>COUNTIFS(ITENS_PEDIDO!$B:$B,$A4)</f>
        <v>1</v>
      </c>
      <c r="I4" s="16">
        <f>SUMIFS(ITENS_PEDIDO!$Q:$Q,ITENS_PEDIDO!$B:$B,$A4)</f>
        <v>1500</v>
      </c>
      <c r="J4" s="15">
        <f>COUNTIFS(ITENS_PEDIDO!$B:$B,$A4,ITENS_PEDIDO!$S:$S,"ENTREGUE")</f>
        <v>0</v>
      </c>
      <c r="K4" s="11" t="s">
        <v>212</v>
      </c>
    </row>
    <row r="5" spans="1:11" x14ac:dyDescent="0.25">
      <c r="B5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9" customWidth="1"/>
    <col min="2" max="2" width="10" customWidth="1"/>
    <col min="3" max="3" width="19" customWidth="1"/>
    <col min="4" max="4" width="13" customWidth="1"/>
    <col min="5" max="5" width="11" customWidth="1"/>
    <col min="6" max="6" width="16" customWidth="1"/>
    <col min="7" max="7" width="7" customWidth="1"/>
    <col min="8" max="9" width="11" customWidth="1"/>
    <col min="10" max="10" width="13" customWidth="1"/>
    <col min="11" max="11" width="14" customWidth="1"/>
    <col min="12" max="12" width="15" customWidth="1"/>
    <col min="13" max="13" width="9" customWidth="1"/>
    <col min="14" max="14" width="15" customWidth="1"/>
    <col min="15" max="15" width="9" customWidth="1"/>
    <col min="16" max="16" width="17" customWidth="1"/>
    <col min="17" max="17" width="12" customWidth="1"/>
    <col min="18" max="18" width="10" customWidth="1"/>
    <col min="19" max="19" width="19" customWidth="1"/>
    <col min="20" max="20" width="18" customWidth="1"/>
    <col min="21" max="21" width="14" customWidth="1"/>
    <col min="22" max="22" width="15" customWidth="1"/>
    <col min="23" max="24" width="16" customWidth="1"/>
    <col min="25" max="25" width="12" customWidth="1"/>
    <col min="26" max="26" width="16" customWidth="1"/>
    <col min="27" max="27" width="15" customWidth="1"/>
    <col min="28" max="28" width="13" customWidth="1"/>
    <col min="29" max="29" width="12" customWidth="1"/>
    <col min="30" max="30" width="17" customWidth="1"/>
  </cols>
  <sheetData>
    <row r="1" spans="1:30" ht="31.5" customHeight="1" x14ac:dyDescent="0.25">
      <c r="A1" s="10" t="s">
        <v>213</v>
      </c>
      <c r="B1" s="10" t="s">
        <v>193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88</v>
      </c>
      <c r="I1" s="10" t="s">
        <v>219</v>
      </c>
      <c r="J1" s="10" t="s">
        <v>220</v>
      </c>
      <c r="K1" s="10" t="s">
        <v>221</v>
      </c>
      <c r="L1" s="10" t="s">
        <v>222</v>
      </c>
      <c r="M1" s="10" t="s">
        <v>223</v>
      </c>
      <c r="N1" s="10" t="s">
        <v>224</v>
      </c>
      <c r="O1" s="10" t="s">
        <v>225</v>
      </c>
      <c r="P1" s="10" t="s">
        <v>226</v>
      </c>
      <c r="Q1" s="10" t="s">
        <v>227</v>
      </c>
      <c r="R1" s="10" t="s">
        <v>228</v>
      </c>
      <c r="S1" s="10" t="s">
        <v>229</v>
      </c>
      <c r="T1" s="10" t="s">
        <v>230</v>
      </c>
      <c r="U1" s="10" t="s">
        <v>231</v>
      </c>
      <c r="V1" s="10" t="s">
        <v>232</v>
      </c>
      <c r="W1" s="10" t="s">
        <v>233</v>
      </c>
      <c r="X1" s="10" t="s">
        <v>234</v>
      </c>
      <c r="Y1" s="10" t="s">
        <v>235</v>
      </c>
      <c r="Z1" s="10" t="s">
        <v>236</v>
      </c>
      <c r="AA1" s="10" t="s">
        <v>237</v>
      </c>
      <c r="AB1" s="10" t="s">
        <v>238</v>
      </c>
      <c r="AC1" s="10" t="s">
        <v>239</v>
      </c>
      <c r="AD1" s="10" t="s">
        <v>240</v>
      </c>
    </row>
    <row r="2" spans="1:30" x14ac:dyDescent="0.25">
      <c r="A2" s="11" t="s">
        <v>241</v>
      </c>
      <c r="B2" s="11" t="s">
        <v>203</v>
      </c>
      <c r="C2" s="11" t="s">
        <v>242</v>
      </c>
      <c r="D2" s="11" t="s">
        <v>243</v>
      </c>
      <c r="E2" s="11" t="s">
        <v>244</v>
      </c>
      <c r="F2" s="11" t="s">
        <v>245</v>
      </c>
      <c r="G2" s="11">
        <v>2022</v>
      </c>
      <c r="H2" s="11" t="s">
        <v>246</v>
      </c>
      <c r="I2" s="11" t="s">
        <v>247</v>
      </c>
      <c r="J2" s="11" t="s">
        <v>248</v>
      </c>
      <c r="K2" s="17">
        <v>58000</v>
      </c>
      <c r="L2" s="11" t="s">
        <v>99</v>
      </c>
      <c r="M2" s="11" t="s">
        <v>100</v>
      </c>
      <c r="N2" s="11" t="s">
        <v>110</v>
      </c>
      <c r="O2" s="11" t="s">
        <v>111</v>
      </c>
      <c r="P2" s="17">
        <v>1300</v>
      </c>
      <c r="Q2" s="17">
        <v>1400</v>
      </c>
      <c r="R2" s="11">
        <v>850</v>
      </c>
      <c r="S2" s="11" t="s">
        <v>249</v>
      </c>
      <c r="T2" s="12">
        <v>46205</v>
      </c>
      <c r="U2" s="12">
        <v>46206</v>
      </c>
      <c r="V2" s="12">
        <v>46206</v>
      </c>
      <c r="W2" s="12">
        <v>46209</v>
      </c>
      <c r="X2" s="12">
        <v>46209</v>
      </c>
      <c r="Y2" s="16">
        <f>$K2*PARAMETROS!$B$2</f>
        <v>17.399999999999999</v>
      </c>
      <c r="Z2" s="16">
        <f>SUMIFS(TRECHOS!$W:$W,TRECHOS!$B:$B,$A2)</f>
        <v>597.88235294117635</v>
      </c>
      <c r="AA2" s="16">
        <f>SUMIFS(TRECHOS!$R:$R,TRECHOS!$B:$B,$A2)</f>
        <v>205.7831325301205</v>
      </c>
      <c r="AB2" s="16">
        <f t="shared" ref="AB2:AB14" si="0">$Q2-$Z2-$AA2-$Y2</f>
        <v>578.93451452870318</v>
      </c>
      <c r="AC2" s="15" t="str">
        <f>IF($S2="AGUARDANDO_ROTA","SEM ROTA",IF(ROUND(SUMIFS(TRECHOS!$L:$L,TRECHOS!$B:$B,$A2),4)=1,"OK","REVISAR"))</f>
        <v>OK</v>
      </c>
      <c r="AD2" s="15" t="str">
        <f>IF($Q2=$P2,"-",IF(COUNTIFS(HISTORICO_LOG!$D:$D,$A2,HISTORICO_LOG!$E:$E,"VALOR_FRETE")&gt;0,"ALTERADO C/ LOG","BLOQUEAR: SEM LOG"))</f>
        <v>ALTERADO C/ LOG</v>
      </c>
    </row>
    <row r="3" spans="1:30" x14ac:dyDescent="0.25">
      <c r="A3" s="11" t="s">
        <v>250</v>
      </c>
      <c r="B3" s="11" t="s">
        <v>203</v>
      </c>
      <c r="C3" s="11" t="s">
        <v>251</v>
      </c>
      <c r="D3" s="11" t="s">
        <v>252</v>
      </c>
      <c r="E3" s="11" t="s">
        <v>244</v>
      </c>
      <c r="F3" s="11" t="s">
        <v>253</v>
      </c>
      <c r="G3" s="11">
        <v>2021</v>
      </c>
      <c r="H3" s="11" t="s">
        <v>246</v>
      </c>
      <c r="I3" s="11" t="s">
        <v>254</v>
      </c>
      <c r="J3" s="11" t="s">
        <v>248</v>
      </c>
      <c r="K3" s="17">
        <v>132000</v>
      </c>
      <c r="L3" s="11" t="s">
        <v>99</v>
      </c>
      <c r="M3" s="11" t="s">
        <v>100</v>
      </c>
      <c r="N3" s="11" t="s">
        <v>110</v>
      </c>
      <c r="O3" s="11" t="s">
        <v>111</v>
      </c>
      <c r="P3" s="17">
        <v>1350</v>
      </c>
      <c r="Q3" s="17">
        <v>1350</v>
      </c>
      <c r="R3" s="11">
        <v>850</v>
      </c>
      <c r="S3" s="11" t="s">
        <v>249</v>
      </c>
      <c r="T3" s="12">
        <v>46205</v>
      </c>
      <c r="U3" s="12">
        <v>46206</v>
      </c>
      <c r="V3" s="12">
        <v>46206</v>
      </c>
      <c r="W3" s="12">
        <v>46209</v>
      </c>
      <c r="X3" s="12">
        <v>46209</v>
      </c>
      <c r="Y3" s="16">
        <f>$K3*PARAMETROS!$B$2</f>
        <v>39.599999999999994</v>
      </c>
      <c r="Z3" s="16">
        <f>SUMIFS(TRECHOS!$W:$W,TRECHOS!$B:$B,$A3)</f>
        <v>576.52941176470586</v>
      </c>
      <c r="AA3" s="16">
        <f>SUMIFS(TRECHOS!$R:$R,TRECHOS!$B:$B,$A3)</f>
        <v>198.43373493975903</v>
      </c>
      <c r="AB3" s="16">
        <f t="shared" si="0"/>
        <v>535.43685329553512</v>
      </c>
      <c r="AC3" s="15" t="str">
        <f>IF($S3="AGUARDANDO_ROTA","SEM ROTA",IF(ROUND(SUMIFS(TRECHOS!$L:$L,TRECHOS!$B:$B,$A3),4)=1,"OK","REVISAR"))</f>
        <v>OK</v>
      </c>
      <c r="AD3" s="15" t="str">
        <f>IF($Q3=$P3,"-",IF(COUNTIFS(HISTORICO_LOG!$D:$D,$A3,HISTORICO_LOG!$E:$E,"VALOR_FRETE")&gt;0,"ALTERADO C/ LOG","BLOQUEAR: SEM LOG"))</f>
        <v>-</v>
      </c>
    </row>
    <row r="4" spans="1:30" x14ac:dyDescent="0.25">
      <c r="A4" s="11" t="s">
        <v>255</v>
      </c>
      <c r="B4" s="11" t="s">
        <v>203</v>
      </c>
      <c r="C4" s="11" t="s">
        <v>256</v>
      </c>
      <c r="D4" s="11" t="s">
        <v>257</v>
      </c>
      <c r="E4" s="11" t="s">
        <v>244</v>
      </c>
      <c r="F4" s="11" t="s">
        <v>258</v>
      </c>
      <c r="G4" s="11">
        <v>2023</v>
      </c>
      <c r="H4" s="11" t="s">
        <v>246</v>
      </c>
      <c r="I4" s="11" t="s">
        <v>259</v>
      </c>
      <c r="J4" s="11" t="s">
        <v>248</v>
      </c>
      <c r="K4" s="17">
        <v>76000</v>
      </c>
      <c r="L4" s="11" t="s">
        <v>99</v>
      </c>
      <c r="M4" s="11" t="s">
        <v>100</v>
      </c>
      <c r="N4" s="11" t="s">
        <v>110</v>
      </c>
      <c r="O4" s="11" t="s">
        <v>111</v>
      </c>
      <c r="P4" s="17">
        <v>1300</v>
      </c>
      <c r="Q4" s="17">
        <v>1300</v>
      </c>
      <c r="R4" s="11">
        <v>850</v>
      </c>
      <c r="S4" s="11" t="s">
        <v>249</v>
      </c>
      <c r="T4" s="12">
        <v>46205</v>
      </c>
      <c r="U4" s="12">
        <v>46206</v>
      </c>
      <c r="V4" s="12">
        <v>46206</v>
      </c>
      <c r="W4" s="12">
        <v>46209</v>
      </c>
      <c r="X4" s="12">
        <v>46209</v>
      </c>
      <c r="Y4" s="16">
        <f>$K4*PARAMETROS!$B$2</f>
        <v>22.799999999999997</v>
      </c>
      <c r="Z4" s="16">
        <f>SUMIFS(TRECHOS!$W:$W,TRECHOS!$B:$B,$A4)</f>
        <v>555.17647058823525</v>
      </c>
      <c r="AA4" s="16">
        <f>SUMIFS(TRECHOS!$R:$R,TRECHOS!$B:$B,$A4)</f>
        <v>191.0843373493976</v>
      </c>
      <c r="AB4" s="16">
        <f t="shared" si="0"/>
        <v>530.93919206236717</v>
      </c>
      <c r="AC4" s="15" t="str">
        <f>IF($S4="AGUARDANDO_ROTA","SEM ROTA",IF(ROUND(SUMIFS(TRECHOS!$L:$L,TRECHOS!$B:$B,$A4),4)=1,"OK","REVISAR"))</f>
        <v>OK</v>
      </c>
      <c r="AD4" s="15" t="str">
        <f>IF($Q4=$P4,"-",IF(COUNTIFS(HISTORICO_LOG!$D:$D,$A4,HISTORICO_LOG!$E:$E,"VALOR_FRETE")&gt;0,"ALTERADO C/ LOG","BLOQUEAR: SEM LOG"))</f>
        <v>-</v>
      </c>
    </row>
    <row r="5" spans="1:30" x14ac:dyDescent="0.25">
      <c r="A5" s="11" t="s">
        <v>260</v>
      </c>
      <c r="B5" s="11" t="s">
        <v>203</v>
      </c>
      <c r="C5" s="11" t="s">
        <v>261</v>
      </c>
      <c r="D5" s="11" t="s">
        <v>262</v>
      </c>
      <c r="E5" s="11" t="s">
        <v>244</v>
      </c>
      <c r="F5" s="11" t="s">
        <v>263</v>
      </c>
      <c r="G5" s="11">
        <v>2022</v>
      </c>
      <c r="H5" s="11" t="s">
        <v>246</v>
      </c>
      <c r="I5" s="11" t="s">
        <v>264</v>
      </c>
      <c r="J5" s="11" t="s">
        <v>248</v>
      </c>
      <c r="K5" s="17">
        <v>92000</v>
      </c>
      <c r="L5" s="11" t="s">
        <v>99</v>
      </c>
      <c r="M5" s="11" t="s">
        <v>100</v>
      </c>
      <c r="N5" s="11" t="s">
        <v>136</v>
      </c>
      <c r="O5" s="11" t="s">
        <v>111</v>
      </c>
      <c r="P5" s="17">
        <v>1250</v>
      </c>
      <c r="Q5" s="17">
        <v>1250</v>
      </c>
      <c r="R5" s="11">
        <v>720</v>
      </c>
      <c r="S5" s="11" t="s">
        <v>249</v>
      </c>
      <c r="T5" s="12">
        <v>46205</v>
      </c>
      <c r="U5" s="12">
        <v>46206</v>
      </c>
      <c r="V5" s="12">
        <v>46206</v>
      </c>
      <c r="W5" s="12">
        <v>46209</v>
      </c>
      <c r="X5" s="12">
        <v>46210</v>
      </c>
      <c r="Y5" s="16">
        <f>$K5*PARAMETROS!$B$2</f>
        <v>27.599999999999998</v>
      </c>
      <c r="Z5" s="16">
        <f>SUMIFS(TRECHOS!$W:$W,TRECHOS!$B:$B,$A5)</f>
        <v>472.22222222222217</v>
      </c>
      <c r="AA5" s="16">
        <f>SUMIFS(TRECHOS!$R:$R,TRECHOS!$B:$B,$A5)</f>
        <v>216.90930388219545</v>
      </c>
      <c r="AB5" s="16">
        <f t="shared" si="0"/>
        <v>533.26847389558236</v>
      </c>
      <c r="AC5" s="15" t="str">
        <f>IF($S5="AGUARDANDO_ROTA","SEM ROTA",IF(ROUND(SUMIFS(TRECHOS!$L:$L,TRECHOS!$B:$B,$A5),4)=1,"OK","REVISAR"))</f>
        <v>OK</v>
      </c>
      <c r="AD5" s="15" t="str">
        <f>IF($Q5=$P5,"-",IF(COUNTIFS(HISTORICO_LOG!$D:$D,$A5,HISTORICO_LOG!$E:$E,"VALOR_FRETE")&gt;0,"ALTERADO C/ LOG","BLOQUEAR: SEM LOG"))</f>
        <v>-</v>
      </c>
    </row>
    <row r="6" spans="1:30" x14ac:dyDescent="0.25">
      <c r="A6" s="11" t="s">
        <v>265</v>
      </c>
      <c r="B6" s="11" t="s">
        <v>203</v>
      </c>
      <c r="C6" s="11" t="s">
        <v>266</v>
      </c>
      <c r="D6" s="11" t="s">
        <v>267</v>
      </c>
      <c r="E6" s="11" t="s">
        <v>244</v>
      </c>
      <c r="F6" s="11" t="s">
        <v>268</v>
      </c>
      <c r="G6" s="11">
        <v>2023</v>
      </c>
      <c r="H6" s="11" t="s">
        <v>246</v>
      </c>
      <c r="I6" s="11" t="s">
        <v>269</v>
      </c>
      <c r="J6" s="11" t="s">
        <v>248</v>
      </c>
      <c r="K6" s="17">
        <v>118000</v>
      </c>
      <c r="L6" s="11" t="s">
        <v>99</v>
      </c>
      <c r="M6" s="11" t="s">
        <v>100</v>
      </c>
      <c r="N6" s="11" t="s">
        <v>136</v>
      </c>
      <c r="O6" s="11" t="s">
        <v>111</v>
      </c>
      <c r="P6" s="17">
        <v>1200</v>
      </c>
      <c r="Q6" s="17">
        <v>1200</v>
      </c>
      <c r="R6" s="11">
        <v>720</v>
      </c>
      <c r="S6" s="11" t="s">
        <v>249</v>
      </c>
      <c r="T6" s="12">
        <v>46205</v>
      </c>
      <c r="U6" s="12">
        <v>46206</v>
      </c>
      <c r="V6" s="12">
        <v>46206</v>
      </c>
      <c r="W6" s="12">
        <v>46209</v>
      </c>
      <c r="X6" s="12">
        <v>46210</v>
      </c>
      <c r="Y6" s="16">
        <f>$K6*PARAMETROS!$B$2</f>
        <v>35.4</v>
      </c>
      <c r="Z6" s="16">
        <f>SUMIFS(TRECHOS!$W:$W,TRECHOS!$B:$B,$A6)</f>
        <v>453.33333333333326</v>
      </c>
      <c r="AA6" s="16">
        <f>SUMIFS(TRECHOS!$R:$R,TRECHOS!$B:$B,$A6)</f>
        <v>208.23293172690765</v>
      </c>
      <c r="AB6" s="16">
        <f t="shared" si="0"/>
        <v>503.03373493975914</v>
      </c>
      <c r="AC6" s="15" t="str">
        <f>IF($S6="AGUARDANDO_ROTA","SEM ROTA",IF(ROUND(SUMIFS(TRECHOS!$L:$L,TRECHOS!$B:$B,$A6),4)=1,"OK","REVISAR"))</f>
        <v>OK</v>
      </c>
      <c r="AD6" s="15" t="str">
        <f>IF($Q6=$P6,"-",IF(COUNTIFS(HISTORICO_LOG!$D:$D,$A6,HISTORICO_LOG!$E:$E,"VALOR_FRETE")&gt;0,"ALTERADO C/ LOG","BLOQUEAR: SEM LOG"))</f>
        <v>-</v>
      </c>
    </row>
    <row r="7" spans="1:30" x14ac:dyDescent="0.25">
      <c r="A7" s="11" t="s">
        <v>270</v>
      </c>
      <c r="B7" s="11" t="s">
        <v>203</v>
      </c>
      <c r="C7" s="11" t="s">
        <v>271</v>
      </c>
      <c r="D7" s="11" t="s">
        <v>272</v>
      </c>
      <c r="E7" s="11" t="s">
        <v>244</v>
      </c>
      <c r="F7" s="11" t="s">
        <v>273</v>
      </c>
      <c r="G7" s="11">
        <v>2021</v>
      </c>
      <c r="H7" s="11" t="s">
        <v>246</v>
      </c>
      <c r="I7" s="11" t="s">
        <v>274</v>
      </c>
      <c r="J7" s="11" t="s">
        <v>248</v>
      </c>
      <c r="K7" s="17">
        <v>180000</v>
      </c>
      <c r="L7" s="11" t="s">
        <v>99</v>
      </c>
      <c r="M7" s="11" t="s">
        <v>100</v>
      </c>
      <c r="N7" s="11" t="s">
        <v>136</v>
      </c>
      <c r="O7" s="11" t="s">
        <v>111</v>
      </c>
      <c r="P7" s="17">
        <v>1150</v>
      </c>
      <c r="Q7" s="17">
        <v>1150</v>
      </c>
      <c r="R7" s="11">
        <v>720</v>
      </c>
      <c r="S7" s="11" t="s">
        <v>249</v>
      </c>
      <c r="T7" s="12">
        <v>46205</v>
      </c>
      <c r="U7" s="12">
        <v>46206</v>
      </c>
      <c r="V7" s="12">
        <v>46206</v>
      </c>
      <c r="W7" s="12">
        <v>46209</v>
      </c>
      <c r="X7" s="12">
        <v>46210</v>
      </c>
      <c r="Y7" s="16">
        <f>$K7*PARAMETROS!$B$2</f>
        <v>53.999999999999993</v>
      </c>
      <c r="Z7" s="16">
        <f>SUMIFS(TRECHOS!$W:$W,TRECHOS!$B:$B,$A7)</f>
        <v>434.4444444444444</v>
      </c>
      <c r="AA7" s="16">
        <f>SUMIFS(TRECHOS!$R:$R,TRECHOS!$B:$B,$A7)</f>
        <v>199.55655957161983</v>
      </c>
      <c r="AB7" s="16">
        <f t="shared" si="0"/>
        <v>461.99899598393586</v>
      </c>
      <c r="AC7" s="15" t="str">
        <f>IF($S7="AGUARDANDO_ROTA","SEM ROTA",IF(ROUND(SUMIFS(TRECHOS!$L:$L,TRECHOS!$B:$B,$A7),4)=1,"OK","REVISAR"))</f>
        <v>OK</v>
      </c>
      <c r="AD7" s="15" t="str">
        <f>IF($Q7=$P7,"-",IF(COUNTIFS(HISTORICO_LOG!$D:$D,$A7,HISTORICO_LOG!$E:$E,"VALOR_FRETE")&gt;0,"ALTERADO C/ LOG","BLOQUEAR: SEM LOG"))</f>
        <v>-</v>
      </c>
    </row>
    <row r="8" spans="1:30" x14ac:dyDescent="0.25">
      <c r="A8" s="11" t="s">
        <v>275</v>
      </c>
      <c r="B8" s="11" t="s">
        <v>207</v>
      </c>
      <c r="C8" s="11" t="s">
        <v>276</v>
      </c>
      <c r="D8" s="11" t="s">
        <v>277</v>
      </c>
      <c r="E8" s="11" t="s">
        <v>278</v>
      </c>
      <c r="F8" s="11" t="s">
        <v>279</v>
      </c>
      <c r="G8" s="11">
        <v>2023</v>
      </c>
      <c r="H8" s="11" t="s">
        <v>246</v>
      </c>
      <c r="I8" s="11" t="s">
        <v>280</v>
      </c>
      <c r="J8" s="11" t="s">
        <v>248</v>
      </c>
      <c r="K8" s="17">
        <v>110000</v>
      </c>
      <c r="L8" s="11" t="s">
        <v>119</v>
      </c>
      <c r="M8" s="11" t="s">
        <v>111</v>
      </c>
      <c r="N8" s="11" t="s">
        <v>110</v>
      </c>
      <c r="O8" s="11" t="s">
        <v>111</v>
      </c>
      <c r="P8" s="17">
        <v>600</v>
      </c>
      <c r="Q8" s="17">
        <v>620</v>
      </c>
      <c r="R8" s="11">
        <v>500</v>
      </c>
      <c r="S8" s="11" t="s">
        <v>281</v>
      </c>
      <c r="T8" s="12">
        <v>46208</v>
      </c>
      <c r="U8" s="12">
        <v>46211</v>
      </c>
      <c r="V8" s="12">
        <v>46211</v>
      </c>
      <c r="W8" s="12">
        <v>46214</v>
      </c>
      <c r="X8" s="12"/>
      <c r="Y8" s="16">
        <f>$K8*PARAMETROS!$B$2</f>
        <v>33</v>
      </c>
      <c r="Z8" s="16">
        <f>SUMIFS(TRECHOS!$W:$W,TRECHOS!$B:$B,$A8)</f>
        <v>170.5</v>
      </c>
      <c r="AA8" s="16">
        <f>SUMIFS(TRECHOS!$R:$R,TRECHOS!$B:$B,$A8)</f>
        <v>238.7</v>
      </c>
      <c r="AB8" s="16">
        <f t="shared" si="0"/>
        <v>177.8</v>
      </c>
      <c r="AC8" s="15" t="str">
        <f>IF($S8="AGUARDANDO_ROTA","SEM ROTA",IF(ROUND(SUMIFS(TRECHOS!$L:$L,TRECHOS!$B:$B,$A8),4)=1,"OK","REVISAR"))</f>
        <v>OK</v>
      </c>
      <c r="AD8" s="15" t="str">
        <f>IF($Q8=$P8,"-",IF(COUNTIFS(HISTORICO_LOG!$D:$D,$A8,HISTORICO_LOG!$E:$E,"VALOR_FRETE")&gt;0,"ALTERADO C/ LOG","BLOQUEAR: SEM LOG"))</f>
        <v>BLOQUEAR: SEM LOG</v>
      </c>
    </row>
    <row r="9" spans="1:30" x14ac:dyDescent="0.25">
      <c r="A9" s="11" t="s">
        <v>282</v>
      </c>
      <c r="B9" s="11" t="s">
        <v>207</v>
      </c>
      <c r="C9" s="11" t="s">
        <v>283</v>
      </c>
      <c r="D9" s="11" t="s">
        <v>284</v>
      </c>
      <c r="E9" s="11" t="s">
        <v>278</v>
      </c>
      <c r="F9" s="11" t="s">
        <v>285</v>
      </c>
      <c r="G9" s="11">
        <v>2022</v>
      </c>
      <c r="H9" s="11" t="s">
        <v>246</v>
      </c>
      <c r="I9" s="11" t="s">
        <v>286</v>
      </c>
      <c r="J9" s="11" t="s">
        <v>248</v>
      </c>
      <c r="K9" s="17">
        <v>84000</v>
      </c>
      <c r="L9" s="11" t="s">
        <v>119</v>
      </c>
      <c r="M9" s="11" t="s">
        <v>111</v>
      </c>
      <c r="N9" s="11" t="s">
        <v>110</v>
      </c>
      <c r="O9" s="11" t="s">
        <v>111</v>
      </c>
      <c r="P9" s="17">
        <v>700</v>
      </c>
      <c r="Q9" s="17">
        <v>700</v>
      </c>
      <c r="R9" s="11">
        <v>500</v>
      </c>
      <c r="S9" s="11" t="s">
        <v>281</v>
      </c>
      <c r="T9" s="12">
        <v>46208</v>
      </c>
      <c r="U9" s="12">
        <v>46211</v>
      </c>
      <c r="V9" s="12">
        <v>46211</v>
      </c>
      <c r="W9" s="12">
        <v>46214</v>
      </c>
      <c r="X9" s="12"/>
      <c r="Y9" s="16">
        <f>$K9*PARAMETROS!$B$2</f>
        <v>25.2</v>
      </c>
      <c r="Z9" s="16">
        <f>SUMIFS(TRECHOS!$W:$W,TRECHOS!$B:$B,$A9)</f>
        <v>192.5</v>
      </c>
      <c r="AA9" s="16">
        <f>SUMIFS(TRECHOS!$R:$R,TRECHOS!$B:$B,$A9)</f>
        <v>269.5</v>
      </c>
      <c r="AB9" s="16">
        <f t="shared" si="0"/>
        <v>212.8</v>
      </c>
      <c r="AC9" s="15" t="str">
        <f>IF($S9="AGUARDANDO_ROTA","SEM ROTA",IF(ROUND(SUMIFS(TRECHOS!$L:$L,TRECHOS!$B:$B,$A9),4)=1,"OK","REVISAR"))</f>
        <v>OK</v>
      </c>
      <c r="AD9" s="15" t="str">
        <f>IF($Q9=$P9,"-",IF(COUNTIFS(HISTORICO_LOG!$D:$D,$A9,HISTORICO_LOG!$E:$E,"VALOR_FRETE")&gt;0,"ALTERADO C/ LOG","BLOQUEAR: SEM LOG"))</f>
        <v>-</v>
      </c>
    </row>
    <row r="10" spans="1:30" x14ac:dyDescent="0.25">
      <c r="A10" s="11" t="s">
        <v>287</v>
      </c>
      <c r="B10" s="11" t="s">
        <v>207</v>
      </c>
      <c r="C10" s="11" t="s">
        <v>288</v>
      </c>
      <c r="D10" s="11" t="s">
        <v>289</v>
      </c>
      <c r="E10" s="11" t="s">
        <v>278</v>
      </c>
      <c r="F10" s="11" t="s">
        <v>290</v>
      </c>
      <c r="G10" s="11">
        <v>2023</v>
      </c>
      <c r="H10" s="11" t="s">
        <v>246</v>
      </c>
      <c r="I10" s="11" t="s">
        <v>291</v>
      </c>
      <c r="J10" s="11" t="s">
        <v>248</v>
      </c>
      <c r="K10" s="17">
        <v>145000</v>
      </c>
      <c r="L10" s="11" t="s">
        <v>119</v>
      </c>
      <c r="M10" s="11" t="s">
        <v>111</v>
      </c>
      <c r="N10" s="11" t="s">
        <v>110</v>
      </c>
      <c r="O10" s="11" t="s">
        <v>111</v>
      </c>
      <c r="P10" s="17">
        <v>680</v>
      </c>
      <c r="Q10" s="17">
        <v>680</v>
      </c>
      <c r="R10" s="11">
        <v>500</v>
      </c>
      <c r="S10" s="11" t="s">
        <v>281</v>
      </c>
      <c r="T10" s="12">
        <v>46208</v>
      </c>
      <c r="U10" s="12">
        <v>46211</v>
      </c>
      <c r="V10" s="12">
        <v>46211</v>
      </c>
      <c r="W10" s="12">
        <v>46214</v>
      </c>
      <c r="X10" s="12"/>
      <c r="Y10" s="16">
        <f>$K10*PARAMETROS!$B$2</f>
        <v>43.499999999999993</v>
      </c>
      <c r="Z10" s="16">
        <f>SUMIFS(TRECHOS!$W:$W,TRECHOS!$B:$B,$A10)</f>
        <v>187</v>
      </c>
      <c r="AA10" s="16">
        <f>SUMIFS(TRECHOS!$R:$R,TRECHOS!$B:$B,$A10)</f>
        <v>261.8</v>
      </c>
      <c r="AB10" s="16">
        <f t="shared" si="0"/>
        <v>187.7</v>
      </c>
      <c r="AC10" s="15" t="str">
        <f>IF($S10="AGUARDANDO_ROTA","SEM ROTA",IF(ROUND(SUMIFS(TRECHOS!$L:$L,TRECHOS!$B:$B,$A10),4)=1,"OK","REVISAR"))</f>
        <v>OK</v>
      </c>
      <c r="AD10" s="15" t="str">
        <f>IF($Q10=$P10,"-",IF(COUNTIFS(HISTORICO_LOG!$D:$D,$A10,HISTORICO_LOG!$E:$E,"VALOR_FRETE")&gt;0,"ALTERADO C/ LOG","BLOQUEAR: SEM LOG"))</f>
        <v>-</v>
      </c>
    </row>
    <row r="11" spans="1:30" x14ac:dyDescent="0.25">
      <c r="A11" s="11" t="s">
        <v>292</v>
      </c>
      <c r="B11" s="11" t="s">
        <v>207</v>
      </c>
      <c r="C11" s="11" t="s">
        <v>293</v>
      </c>
      <c r="D11" s="11" t="s">
        <v>294</v>
      </c>
      <c r="E11" s="11" t="s">
        <v>278</v>
      </c>
      <c r="F11" s="11" t="s">
        <v>245</v>
      </c>
      <c r="G11" s="11">
        <v>2021</v>
      </c>
      <c r="H11" s="11" t="s">
        <v>246</v>
      </c>
      <c r="I11" s="11" t="s">
        <v>295</v>
      </c>
      <c r="J11" s="11" t="s">
        <v>248</v>
      </c>
      <c r="K11" s="17">
        <v>62000</v>
      </c>
      <c r="L11" s="11" t="s">
        <v>119</v>
      </c>
      <c r="M11" s="11" t="s">
        <v>111</v>
      </c>
      <c r="N11" s="11" t="s">
        <v>136</v>
      </c>
      <c r="O11" s="11" t="s">
        <v>111</v>
      </c>
      <c r="P11" s="17">
        <v>750</v>
      </c>
      <c r="Q11" s="17">
        <v>750</v>
      </c>
      <c r="R11" s="11">
        <v>460</v>
      </c>
      <c r="S11" s="11" t="s">
        <v>296</v>
      </c>
      <c r="T11" s="12">
        <v>46208</v>
      </c>
      <c r="U11" s="12">
        <v>46212</v>
      </c>
      <c r="V11" s="12">
        <v>46212</v>
      </c>
      <c r="W11" s="12">
        <v>46215</v>
      </c>
      <c r="X11" s="12"/>
      <c r="Y11" s="16">
        <f>$K11*PARAMETROS!$B$2</f>
        <v>18.599999999999998</v>
      </c>
      <c r="Z11" s="16">
        <f>SUMIFS(TRECHOS!$W:$W,TRECHOS!$B:$B,$A11)</f>
        <v>336.53225806451616</v>
      </c>
      <c r="AA11" s="16">
        <f>SUMIFS(TRECHOS!$R:$R,TRECHOS!$B:$B,$A11)</f>
        <v>382.25806451612902</v>
      </c>
      <c r="AB11" s="16">
        <f t="shared" si="0"/>
        <v>12.609677419354821</v>
      </c>
      <c r="AC11" s="15" t="str">
        <f>IF($S11="AGUARDANDO_ROTA","SEM ROTA",IF(ROUND(SUMIFS(TRECHOS!$L:$L,TRECHOS!$B:$B,$A11),4)=1,"OK","REVISAR"))</f>
        <v>OK</v>
      </c>
      <c r="AD11" s="15" t="str">
        <f>IF($Q11=$P11,"-",IF(COUNTIFS(HISTORICO_LOG!$D:$D,$A11,HISTORICO_LOG!$E:$E,"VALOR_FRETE")&gt;0,"ALTERADO C/ LOG","BLOQUEAR: SEM LOG"))</f>
        <v>-</v>
      </c>
    </row>
    <row r="12" spans="1:30" x14ac:dyDescent="0.25">
      <c r="A12" s="11" t="s">
        <v>297</v>
      </c>
      <c r="B12" s="11" t="s">
        <v>207</v>
      </c>
      <c r="C12" s="11" t="s">
        <v>298</v>
      </c>
      <c r="D12" s="11" t="s">
        <v>299</v>
      </c>
      <c r="E12" s="11" t="s">
        <v>278</v>
      </c>
      <c r="F12" s="11" t="s">
        <v>300</v>
      </c>
      <c r="G12" s="11">
        <v>2022</v>
      </c>
      <c r="H12" s="11" t="s">
        <v>246</v>
      </c>
      <c r="I12" s="11" t="s">
        <v>301</v>
      </c>
      <c r="J12" s="11" t="s">
        <v>248</v>
      </c>
      <c r="K12" s="17">
        <v>98000</v>
      </c>
      <c r="L12" s="11" t="s">
        <v>119</v>
      </c>
      <c r="M12" s="11" t="s">
        <v>111</v>
      </c>
      <c r="N12" s="11" t="s">
        <v>136</v>
      </c>
      <c r="O12" s="11" t="s">
        <v>111</v>
      </c>
      <c r="P12" s="17">
        <v>800</v>
      </c>
      <c r="Q12" s="17">
        <v>800</v>
      </c>
      <c r="R12" s="11">
        <v>460</v>
      </c>
      <c r="S12" s="11" t="s">
        <v>296</v>
      </c>
      <c r="T12" s="12">
        <v>46208</v>
      </c>
      <c r="U12" s="12">
        <v>46212</v>
      </c>
      <c r="V12" s="12">
        <v>46212</v>
      </c>
      <c r="W12" s="12">
        <v>46215</v>
      </c>
      <c r="X12" s="12"/>
      <c r="Y12" s="16">
        <f>$K12*PARAMETROS!$B$2</f>
        <v>29.4</v>
      </c>
      <c r="Z12" s="16">
        <f>SUMIFS(TRECHOS!$W:$W,TRECHOS!$B:$B,$A12)</f>
        <v>358.9677419354839</v>
      </c>
      <c r="AA12" s="16">
        <f>SUMIFS(TRECHOS!$R:$R,TRECHOS!$B:$B,$A12)</f>
        <v>247.74193548387098</v>
      </c>
      <c r="AB12" s="16">
        <f t="shared" si="0"/>
        <v>163.89032258064512</v>
      </c>
      <c r="AC12" s="15" t="str">
        <f>IF($S12="AGUARDANDO_ROTA","SEM ROTA",IF(ROUND(SUMIFS(TRECHOS!$L:$L,TRECHOS!$B:$B,$A12),4)=1,"OK","REVISAR"))</f>
        <v>OK</v>
      </c>
      <c r="AD12" s="15" t="str">
        <f>IF($Q12=$P12,"-",IF(COUNTIFS(HISTORICO_LOG!$D:$D,$A12,HISTORICO_LOG!$E:$E,"VALOR_FRETE")&gt;0,"ALTERADO C/ LOG","BLOQUEAR: SEM LOG"))</f>
        <v>-</v>
      </c>
    </row>
    <row r="13" spans="1:30" x14ac:dyDescent="0.25">
      <c r="A13" s="11" t="s">
        <v>302</v>
      </c>
      <c r="B13" s="11" t="s">
        <v>207</v>
      </c>
      <c r="C13" s="11" t="s">
        <v>303</v>
      </c>
      <c r="D13" s="11" t="s">
        <v>304</v>
      </c>
      <c r="E13" s="11" t="s">
        <v>278</v>
      </c>
      <c r="F13" s="11" t="s">
        <v>305</v>
      </c>
      <c r="G13" s="11">
        <v>2023</v>
      </c>
      <c r="H13" s="11" t="s">
        <v>246</v>
      </c>
      <c r="I13" s="11" t="s">
        <v>306</v>
      </c>
      <c r="J13" s="11" t="s">
        <v>248</v>
      </c>
      <c r="K13" s="17">
        <v>195000</v>
      </c>
      <c r="L13" s="11" t="s">
        <v>119</v>
      </c>
      <c r="M13" s="11" t="s">
        <v>111</v>
      </c>
      <c r="N13" s="11" t="s">
        <v>136</v>
      </c>
      <c r="O13" s="11" t="s">
        <v>111</v>
      </c>
      <c r="P13" s="17">
        <v>750</v>
      </c>
      <c r="Q13" s="17">
        <v>750</v>
      </c>
      <c r="R13" s="11">
        <v>460</v>
      </c>
      <c r="S13" s="11" t="s">
        <v>307</v>
      </c>
      <c r="T13" s="12">
        <v>46208</v>
      </c>
      <c r="U13" s="12">
        <v>46216</v>
      </c>
      <c r="V13" s="12"/>
      <c r="W13" s="12">
        <v>46218</v>
      </c>
      <c r="X13" s="12"/>
      <c r="Y13" s="16">
        <f>$K13*PARAMETROS!$B$2</f>
        <v>58.499999999999993</v>
      </c>
      <c r="Z13" s="16">
        <f>SUMIFS(TRECHOS!$W:$W,TRECHOS!$B:$B,$A13)</f>
        <v>320</v>
      </c>
      <c r="AA13" s="16">
        <f>SUMIFS(TRECHOS!$R:$R,TRECHOS!$B:$B,$A13)</f>
        <v>0</v>
      </c>
      <c r="AB13" s="16">
        <f t="shared" si="0"/>
        <v>371.5</v>
      </c>
      <c r="AC13" s="15" t="str">
        <f>IF($S13="AGUARDANDO_ROTA","SEM ROTA",IF(ROUND(SUMIFS(TRECHOS!$L:$L,TRECHOS!$B:$B,$A13),4)=1,"OK","REVISAR"))</f>
        <v>OK</v>
      </c>
      <c r="AD13" s="15" t="str">
        <f>IF($Q13=$P13,"-",IF(COUNTIFS(HISTORICO_LOG!$D:$D,$A13,HISTORICO_LOG!$E:$E,"VALOR_FRETE")&gt;0,"ALTERADO C/ LOG","BLOQUEAR: SEM LOG"))</f>
        <v>-</v>
      </c>
    </row>
    <row r="14" spans="1:30" x14ac:dyDescent="0.25">
      <c r="A14" s="11" t="s">
        <v>308</v>
      </c>
      <c r="B14" s="11" t="s">
        <v>210</v>
      </c>
      <c r="C14" s="11" t="s">
        <v>309</v>
      </c>
      <c r="D14" s="11" t="s">
        <v>310</v>
      </c>
      <c r="E14" s="11" t="s">
        <v>311</v>
      </c>
      <c r="F14" s="11" t="s">
        <v>312</v>
      </c>
      <c r="G14" s="11">
        <v>2026</v>
      </c>
      <c r="H14" s="11" t="s">
        <v>313</v>
      </c>
      <c r="I14" s="11" t="s">
        <v>123</v>
      </c>
      <c r="J14" s="11" t="s">
        <v>314</v>
      </c>
      <c r="K14" s="17">
        <v>95000</v>
      </c>
      <c r="L14" s="11" t="s">
        <v>110</v>
      </c>
      <c r="M14" s="11" t="s">
        <v>111</v>
      </c>
      <c r="N14" s="11" t="s">
        <v>99</v>
      </c>
      <c r="O14" s="11" t="s">
        <v>100</v>
      </c>
      <c r="P14" s="17">
        <v>1500</v>
      </c>
      <c r="Q14" s="17">
        <v>1500</v>
      </c>
      <c r="R14" s="11">
        <v>850</v>
      </c>
      <c r="S14" s="11" t="s">
        <v>315</v>
      </c>
      <c r="T14" s="12"/>
      <c r="U14" s="12"/>
      <c r="V14" s="12"/>
      <c r="W14" s="12"/>
      <c r="X14" s="12"/>
      <c r="Y14" s="16">
        <f>$K14*PARAMETROS!$B$2</f>
        <v>28.499999999999996</v>
      </c>
      <c r="Z14" s="16">
        <f>SUMIFS(TRECHOS!$W:$W,TRECHOS!$B:$B,$A14)</f>
        <v>0</v>
      </c>
      <c r="AA14" s="16">
        <f>SUMIFS(TRECHOS!$R:$R,TRECHOS!$B:$B,$A14)</f>
        <v>0</v>
      </c>
      <c r="AB14" s="16">
        <f t="shared" si="0"/>
        <v>1471.5</v>
      </c>
      <c r="AC14" s="15" t="str">
        <f>IF($S14="AGUARDANDO_ROTA","SEM ROTA",IF(ROUND(SUMIFS(TRECHOS!$L:$L,TRECHOS!$B:$B,$A14),4)=1,"OK","REVISAR"))</f>
        <v>SEM ROTA</v>
      </c>
      <c r="AD14" s="15" t="str">
        <f>IF($Q14=$P14,"-",IF(COUNTIFS(HISTORICO_LOG!$D:$D,$A14,HISTORICO_LOG!$E:$E,"VALOR_FRETE")&gt;0,"ALTERADO C/ LOG","BLOQUEAR: SEM LOG"))</f>
        <v>-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0" customWidth="1"/>
    <col min="2" max="2" width="17" customWidth="1"/>
    <col min="3" max="3" width="26" customWidth="1"/>
    <col min="4" max="4" width="11" customWidth="1"/>
    <col min="5" max="5" width="20" customWidth="1"/>
    <col min="6" max="6" width="14" customWidth="1"/>
    <col min="7" max="7" width="19" customWidth="1"/>
    <col min="8" max="8" width="15" customWidth="1"/>
    <col min="9" max="9" width="9" customWidth="1"/>
    <col min="10" max="10" width="13" customWidth="1"/>
    <col min="11" max="12" width="16" customWidth="1"/>
    <col min="13" max="13" width="18" customWidth="1"/>
    <col min="14" max="14" width="14" customWidth="1"/>
    <col min="15" max="15" width="17" customWidth="1"/>
    <col min="16" max="16" width="18" customWidth="1"/>
    <col min="17" max="18" width="13" customWidth="1"/>
  </cols>
  <sheetData>
    <row r="1" spans="1:18" ht="31.5" customHeight="1" x14ac:dyDescent="0.25">
      <c r="A1" s="10" t="s">
        <v>316</v>
      </c>
      <c r="B1" s="10" t="s">
        <v>317</v>
      </c>
      <c r="C1" s="10" t="s">
        <v>318</v>
      </c>
      <c r="D1" s="10" t="s">
        <v>176</v>
      </c>
      <c r="E1" s="10" t="s">
        <v>319</v>
      </c>
      <c r="F1" s="10" t="s">
        <v>320</v>
      </c>
      <c r="G1" s="10" t="s">
        <v>321</v>
      </c>
      <c r="H1" s="10" t="s">
        <v>322</v>
      </c>
      <c r="I1" s="10" t="s">
        <v>323</v>
      </c>
      <c r="J1" s="10" t="s">
        <v>199</v>
      </c>
      <c r="K1" s="10" t="s">
        <v>324</v>
      </c>
      <c r="L1" s="10" t="s">
        <v>236</v>
      </c>
      <c r="M1" s="10" t="s">
        <v>325</v>
      </c>
      <c r="N1" s="10" t="s">
        <v>326</v>
      </c>
      <c r="O1" s="10" t="s">
        <v>327</v>
      </c>
      <c r="P1" s="10" t="s">
        <v>328</v>
      </c>
      <c r="Q1" s="10" t="s">
        <v>329</v>
      </c>
      <c r="R1" s="10" t="s">
        <v>330</v>
      </c>
    </row>
    <row r="2" spans="1:18" x14ac:dyDescent="0.25">
      <c r="A2" s="11" t="s">
        <v>331</v>
      </c>
      <c r="B2" s="12">
        <v>46206</v>
      </c>
      <c r="C2" s="11" t="s">
        <v>332</v>
      </c>
      <c r="D2" s="11" t="s">
        <v>186</v>
      </c>
      <c r="E2" s="11" t="s">
        <v>149</v>
      </c>
      <c r="F2" s="11" t="s">
        <v>153</v>
      </c>
      <c r="G2" s="11" t="s">
        <v>333</v>
      </c>
      <c r="H2" s="11" t="s">
        <v>334</v>
      </c>
      <c r="I2" s="11">
        <v>400</v>
      </c>
      <c r="J2" s="15">
        <f>COUNTIFS(TRECHOS!$D:$D,$A2)</f>
        <v>6</v>
      </c>
      <c r="K2" s="16">
        <f>SUMIFS(TRECHOS!$N:$N,TRECHOS!$D:$D,$A2)</f>
        <v>3905.8823529411766</v>
      </c>
      <c r="L2" s="16">
        <f>SUMIFS(TRECHOS!$W:$W,TRECHOS!$D:$D,$A2)</f>
        <v>468.70588235294122</v>
      </c>
      <c r="M2" s="16">
        <f>SUMIFS(TRECHOS!$R:$R,TRECHOS!$D:$D,$A2)</f>
        <v>1220</v>
      </c>
      <c r="N2" s="16">
        <f>$K2-$L2-$M2</f>
        <v>2217.1764705882351</v>
      </c>
      <c r="O2" s="11" t="s">
        <v>71</v>
      </c>
      <c r="P2" s="11" t="s">
        <v>71</v>
      </c>
      <c r="Q2" s="12">
        <v>46206</v>
      </c>
      <c r="R2" s="12">
        <v>46207</v>
      </c>
    </row>
    <row r="3" spans="1:18" x14ac:dyDescent="0.25">
      <c r="A3" s="11" t="s">
        <v>335</v>
      </c>
      <c r="B3" s="12">
        <v>46207</v>
      </c>
      <c r="C3" s="11" t="s">
        <v>336</v>
      </c>
      <c r="D3" s="11" t="s">
        <v>190</v>
      </c>
      <c r="E3" s="11" t="s">
        <v>165</v>
      </c>
      <c r="F3" s="11" t="s">
        <v>167</v>
      </c>
      <c r="G3" s="11" t="s">
        <v>333</v>
      </c>
      <c r="H3" s="11" t="s">
        <v>334</v>
      </c>
      <c r="I3" s="11">
        <v>780</v>
      </c>
      <c r="J3" s="15">
        <f>COUNTIFS(TRECHOS!$D:$D,$A3)</f>
        <v>6</v>
      </c>
      <c r="K3" s="16">
        <f>SUMIFS(TRECHOS!$N:$N,TRECHOS!$D:$D,$A3)</f>
        <v>3744.1176470588234</v>
      </c>
      <c r="L3" s="16">
        <f>SUMIFS(TRECHOS!$W:$W,TRECHOS!$D:$D,$A3)</f>
        <v>2620.8823529411761</v>
      </c>
      <c r="M3" s="16">
        <f>SUMIFS(TRECHOS!$R:$R,TRECHOS!$D:$D,$A3)</f>
        <v>0</v>
      </c>
      <c r="N3" s="16">
        <f>$K3-$L3-$M3</f>
        <v>1123.2352941176473</v>
      </c>
      <c r="O3" s="11" t="s">
        <v>71</v>
      </c>
      <c r="P3" s="11" t="s">
        <v>71</v>
      </c>
      <c r="Q3" s="12">
        <v>46207</v>
      </c>
      <c r="R3" s="12">
        <v>46210</v>
      </c>
    </row>
    <row r="4" spans="1:18" x14ac:dyDescent="0.25">
      <c r="A4" s="11" t="s">
        <v>337</v>
      </c>
      <c r="B4" s="12">
        <v>46211</v>
      </c>
      <c r="C4" s="11" t="s">
        <v>338</v>
      </c>
      <c r="D4" s="11" t="s">
        <v>182</v>
      </c>
      <c r="E4" s="11" t="s">
        <v>155</v>
      </c>
      <c r="F4" s="11" t="s">
        <v>153</v>
      </c>
      <c r="G4" s="11" t="s">
        <v>333</v>
      </c>
      <c r="H4" s="11" t="s">
        <v>281</v>
      </c>
      <c r="I4" s="11">
        <v>500</v>
      </c>
      <c r="J4" s="15">
        <f>COUNTIFS(TRECHOS!$D:$D,$A4)</f>
        <v>3</v>
      </c>
      <c r="K4" s="16">
        <f>SUMIFS(TRECHOS!$N:$N,TRECHOS!$D:$D,$A4)</f>
        <v>2000</v>
      </c>
      <c r="L4" s="16">
        <f>SUMIFS(TRECHOS!$W:$W,TRECHOS!$D:$D,$A4)</f>
        <v>550</v>
      </c>
      <c r="M4" s="16">
        <f>SUMIFS(TRECHOS!$R:$R,TRECHOS!$D:$D,$A4)</f>
        <v>770</v>
      </c>
      <c r="N4" s="16">
        <f>$K4-$L4-$M4</f>
        <v>680</v>
      </c>
      <c r="O4" s="11" t="s">
        <v>71</v>
      </c>
      <c r="P4" s="11" t="s">
        <v>339</v>
      </c>
      <c r="Q4" s="12">
        <v>46211</v>
      </c>
      <c r="R4" s="12"/>
    </row>
    <row r="5" spans="1:18" x14ac:dyDescent="0.25">
      <c r="A5" s="11" t="s">
        <v>340</v>
      </c>
      <c r="B5" s="12">
        <v>46212</v>
      </c>
      <c r="C5" s="11" t="s">
        <v>341</v>
      </c>
      <c r="D5" s="11" t="s">
        <v>186</v>
      </c>
      <c r="E5" s="11" t="s">
        <v>160</v>
      </c>
      <c r="F5" s="11" t="s">
        <v>164</v>
      </c>
      <c r="G5" s="11" t="s">
        <v>333</v>
      </c>
      <c r="H5" s="11" t="s">
        <v>281</v>
      </c>
      <c r="I5" s="11">
        <v>460</v>
      </c>
      <c r="J5" s="15">
        <f>COUNTIFS(TRECHOS!$D:$D,$A5)</f>
        <v>2</v>
      </c>
      <c r="K5" s="16">
        <f>SUMIFS(TRECHOS!$N:$N,TRECHOS!$D:$D,$A5)</f>
        <v>1550</v>
      </c>
      <c r="L5" s="16">
        <f>SUMIFS(TRECHOS!$W:$W,TRECHOS!$D:$D,$A5)</f>
        <v>695.5</v>
      </c>
      <c r="M5" s="16">
        <f>SUMIFS(TRECHOS!$R:$R,TRECHOS!$D:$D,$A5)</f>
        <v>630</v>
      </c>
      <c r="N5" s="16">
        <f>$K5-$L5-$M5</f>
        <v>224.5</v>
      </c>
      <c r="O5" s="11" t="s">
        <v>71</v>
      </c>
      <c r="P5" s="11" t="s">
        <v>339</v>
      </c>
      <c r="Q5" s="12">
        <v>46212</v>
      </c>
      <c r="R5" s="12"/>
    </row>
    <row r="6" spans="1:18" x14ac:dyDescent="0.25">
      <c r="A6" s="11" t="s">
        <v>342</v>
      </c>
      <c r="B6" s="12">
        <v>46216</v>
      </c>
      <c r="C6" s="11" t="s">
        <v>343</v>
      </c>
      <c r="D6" s="11" t="s">
        <v>186</v>
      </c>
      <c r="E6" s="11" t="s">
        <v>170</v>
      </c>
      <c r="F6" s="11" t="s">
        <v>167</v>
      </c>
      <c r="G6" s="11" t="s">
        <v>333</v>
      </c>
      <c r="H6" s="11" t="s">
        <v>344</v>
      </c>
      <c r="I6" s="11">
        <v>460</v>
      </c>
      <c r="J6" s="15">
        <f>COUNTIFS(TRECHOS!$D:$D,$A6)</f>
        <v>1</v>
      </c>
      <c r="K6" s="16">
        <f>SUMIFS(TRECHOS!$N:$N,TRECHOS!$D:$D,$A6)</f>
        <v>750</v>
      </c>
      <c r="L6" s="16">
        <f>SUMIFS(TRECHOS!$W:$W,TRECHOS!$D:$D,$A6)</f>
        <v>320</v>
      </c>
      <c r="M6" s="16">
        <f>SUMIFS(TRECHOS!$R:$R,TRECHOS!$D:$D,$A6)</f>
        <v>0</v>
      </c>
      <c r="N6" s="16">
        <f>$K6-$L6-$M6</f>
        <v>430</v>
      </c>
      <c r="O6" s="11" t="s">
        <v>339</v>
      </c>
      <c r="P6" s="11" t="s">
        <v>339</v>
      </c>
      <c r="Q6" s="12"/>
      <c r="R6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ColWidth="8.7109375" defaultRowHeight="15" x14ac:dyDescent="0.25"/>
  <cols>
    <col min="1" max="1" width="10" customWidth="1"/>
    <col min="2" max="2" width="9" customWidth="1"/>
    <col min="3" max="3" width="6" customWidth="1"/>
    <col min="4" max="4" width="10" customWidth="1"/>
    <col min="5" max="5" width="12" customWidth="1"/>
    <col min="6" max="7" width="15" customWidth="1"/>
    <col min="8" max="8" width="10" customWidth="1"/>
    <col min="9" max="9" width="13" customWidth="1"/>
    <col min="10" max="12" width="12" customWidth="1"/>
    <col min="13" max="14" width="14" customWidth="1"/>
    <col min="15" max="15" width="13" customWidth="1"/>
    <col min="16" max="16" width="15" customWidth="1"/>
    <col min="17" max="17" width="16" customWidth="1"/>
    <col min="18" max="18" width="17" customWidth="1"/>
    <col min="19" max="19" width="13" customWidth="1"/>
    <col min="20" max="20" width="11" customWidth="1"/>
    <col min="21" max="21" width="13" customWidth="1"/>
    <col min="22" max="22" width="11" customWidth="1"/>
    <col min="23" max="23" width="20" customWidth="1"/>
    <col min="24" max="24" width="14" customWidth="1"/>
    <col min="25" max="25" width="12" customWidth="1"/>
  </cols>
  <sheetData>
    <row r="1" spans="1:25" ht="31.5" customHeight="1" x14ac:dyDescent="0.25">
      <c r="A1" s="10" t="s">
        <v>345</v>
      </c>
      <c r="B1" s="10" t="s">
        <v>213</v>
      </c>
      <c r="C1" s="10" t="s">
        <v>346</v>
      </c>
      <c r="D1" s="10" t="s">
        <v>316</v>
      </c>
      <c r="E1" s="10" t="s">
        <v>347</v>
      </c>
      <c r="F1" s="10" t="s">
        <v>348</v>
      </c>
      <c r="G1" s="10" t="s">
        <v>349</v>
      </c>
      <c r="H1" s="10" t="s">
        <v>350</v>
      </c>
      <c r="I1" s="10" t="s">
        <v>351</v>
      </c>
      <c r="J1" s="10" t="s">
        <v>352</v>
      </c>
      <c r="K1" s="10" t="s">
        <v>353</v>
      </c>
      <c r="L1" s="10" t="s">
        <v>354</v>
      </c>
      <c r="M1" s="10" t="s">
        <v>355</v>
      </c>
      <c r="N1" s="10" t="s">
        <v>356</v>
      </c>
      <c r="O1" s="10" t="s">
        <v>357</v>
      </c>
      <c r="P1" s="10" t="s">
        <v>358</v>
      </c>
      <c r="Q1" s="10" t="s">
        <v>359</v>
      </c>
      <c r="R1" s="10" t="s">
        <v>360</v>
      </c>
      <c r="S1" s="10" t="s">
        <v>361</v>
      </c>
      <c r="T1" s="10" t="s">
        <v>144</v>
      </c>
      <c r="U1" s="10" t="s">
        <v>362</v>
      </c>
      <c r="V1" s="10" t="s">
        <v>147</v>
      </c>
      <c r="W1" s="10" t="s">
        <v>363</v>
      </c>
      <c r="X1" s="10" t="s">
        <v>364</v>
      </c>
      <c r="Y1" s="10" t="s">
        <v>239</v>
      </c>
    </row>
    <row r="2" spans="1:25" x14ac:dyDescent="0.25">
      <c r="A2" s="11" t="s">
        <v>365</v>
      </c>
      <c r="B2" s="11" t="s">
        <v>241</v>
      </c>
      <c r="C2" s="11">
        <v>1</v>
      </c>
      <c r="D2" s="11" t="s">
        <v>331</v>
      </c>
      <c r="E2" s="18">
        <f>IFERROR(INDEX(CARGAS!$B:$B,MATCH($D2,CARGAS!$A:$A,0)),"")</f>
        <v>46206</v>
      </c>
      <c r="F2" s="11" t="s">
        <v>95</v>
      </c>
      <c r="G2" s="11" t="s">
        <v>124</v>
      </c>
      <c r="H2" s="11">
        <v>400</v>
      </c>
      <c r="I2" s="11" t="s">
        <v>149</v>
      </c>
      <c r="J2" s="19">
        <f t="shared" ref="J2:J19" si="0">IFERROR($H2/SUMIFS($H:$H,$B:$B,$B2),0)</f>
        <v>0.47058823529411764</v>
      </c>
      <c r="K2" s="20"/>
      <c r="L2" s="19">
        <f t="shared" ref="L2:L19" si="1">IF($K2="",$J2,$K2)</f>
        <v>0.47058823529411764</v>
      </c>
      <c r="M2" s="16">
        <f>IFERROR(INDEX(ITENS_PEDIDO!$Q:$Q,MATCH($B2,ITENS_PEDIDO!$A:$A,0)),0)</f>
        <v>1400</v>
      </c>
      <c r="N2" s="16">
        <f t="shared" ref="N2:N19" si="2">$L2*$M2</f>
        <v>658.82352941176475</v>
      </c>
      <c r="O2" s="19">
        <f t="shared" ref="O2:O19" si="3">IFERROR($N2/SUMIFS($N:$N,$D:$D,$D2),0)</f>
        <v>0.16867469879518074</v>
      </c>
      <c r="P2" s="16">
        <f>SUMIFS(CUSTOS!$H:$H,CUSTOS!$D:$D,$A2,CUSTOS!$J:$J,"SIM")</f>
        <v>0</v>
      </c>
      <c r="Q2" s="16">
        <f>$O2*SUMIFS(CUSTOS!$H:$H,CUSTOS!$C:$C,$D2,CUSTOS!$B:$B,"CARGA",CUSTOS!$J:$J,"SIM")</f>
        <v>0</v>
      </c>
      <c r="R2" s="16">
        <f>SUMIFS(CUSTOS!$H:$H,CUSTOS!$D:$D,$A2,CUSTOS!$I:$I,"EMPRESA")+$O2*SUMIFS(CUSTOS!$H:$H,CUSTOS!$C:$C,$D2,CUSTOS!$B:$B,"CARGA",CUSTOS!$I:$I,"EMPRESA")</f>
        <v>205.7831325301205</v>
      </c>
      <c r="S2" s="16">
        <f t="shared" ref="S2:S19" si="4">$N2-$P2-$Q2</f>
        <v>658.82352941176475</v>
      </c>
      <c r="T2" s="15" t="str">
        <f>IFERROR(INDEX(MOTORISTAS!$F:$F,MATCH($I2,MOTORISTAS!$A:$A,0)),"")</f>
        <v>FROTA</v>
      </c>
      <c r="U2" s="15" t="str">
        <f>IFERROR(INDEX(MOTORISTAS!$H:$H,MATCH($I2,MOTORISTAS!$A:$A,0)),"")</f>
        <v>%_FRETE</v>
      </c>
      <c r="V2" s="21">
        <f>IFERROR(INDEX(MOTORISTAS!$I:$I,MATCH($I2,MOTORISTAS!$A:$A,0)),0)</f>
        <v>0.12</v>
      </c>
      <c r="W2" s="16">
        <f>MAX(0,IF($U2="%_FRETE",$S2*$V2,IF($U2="R$/KM",IFERROR(INDEX(CARGAS!$I:$I,MATCH($D2,CARGAS!$A:$A,0)),0)*$V2*$O2-$P2-$Q2,IF($U2="FIXO_VEICULO",$V2-$P2-$Q2,0))))</f>
        <v>79.058823529411768</v>
      </c>
      <c r="X2" s="16">
        <f t="shared" ref="X2:X19" si="5">$N2-$W2-$R2</f>
        <v>373.98157335223243</v>
      </c>
      <c r="Y2" s="15" t="str">
        <f t="shared" ref="Y2:Y19" si="6">IF(ROUND(SUMIFS($L:$L,$B:$B,$B2),4)=1,"OK","REVISAR")</f>
        <v>OK</v>
      </c>
    </row>
    <row r="3" spans="1:25" x14ac:dyDescent="0.25">
      <c r="A3" s="11" t="s">
        <v>366</v>
      </c>
      <c r="B3" s="11" t="s">
        <v>250</v>
      </c>
      <c r="C3" s="11">
        <v>1</v>
      </c>
      <c r="D3" s="11" t="s">
        <v>331</v>
      </c>
      <c r="E3" s="18">
        <f>IFERROR(INDEX(CARGAS!$B:$B,MATCH($D3,CARGAS!$A:$A,0)),"")</f>
        <v>46206</v>
      </c>
      <c r="F3" s="11" t="s">
        <v>95</v>
      </c>
      <c r="G3" s="11" t="s">
        <v>124</v>
      </c>
      <c r="H3" s="11">
        <v>400</v>
      </c>
      <c r="I3" s="11" t="s">
        <v>149</v>
      </c>
      <c r="J3" s="19">
        <f t="shared" si="0"/>
        <v>0.47058823529411764</v>
      </c>
      <c r="K3" s="20"/>
      <c r="L3" s="19">
        <f t="shared" si="1"/>
        <v>0.47058823529411764</v>
      </c>
      <c r="M3" s="16">
        <f>IFERROR(INDEX(ITENS_PEDIDO!$Q:$Q,MATCH($B3,ITENS_PEDIDO!$A:$A,0)),0)</f>
        <v>1350</v>
      </c>
      <c r="N3" s="16">
        <f t="shared" si="2"/>
        <v>635.29411764705878</v>
      </c>
      <c r="O3" s="19">
        <f t="shared" si="3"/>
        <v>0.16265060240963855</v>
      </c>
      <c r="P3" s="16">
        <f>SUMIFS(CUSTOS!$H:$H,CUSTOS!$D:$D,$A3,CUSTOS!$J:$J,"SIM")</f>
        <v>0</v>
      </c>
      <c r="Q3" s="16">
        <f>$O3*SUMIFS(CUSTOS!$H:$H,CUSTOS!$C:$C,$D3,CUSTOS!$B:$B,"CARGA",CUSTOS!$J:$J,"SIM")</f>
        <v>0</v>
      </c>
      <c r="R3" s="16">
        <f>SUMIFS(CUSTOS!$H:$H,CUSTOS!$D:$D,$A3,CUSTOS!$I:$I,"EMPRESA")+$O3*SUMIFS(CUSTOS!$H:$H,CUSTOS!$C:$C,$D3,CUSTOS!$B:$B,"CARGA",CUSTOS!$I:$I,"EMPRESA")</f>
        <v>198.43373493975903</v>
      </c>
      <c r="S3" s="16">
        <f t="shared" si="4"/>
        <v>635.29411764705878</v>
      </c>
      <c r="T3" s="15" t="str">
        <f>IFERROR(INDEX(MOTORISTAS!$F:$F,MATCH($I3,MOTORISTAS!$A:$A,0)),"")</f>
        <v>FROTA</v>
      </c>
      <c r="U3" s="15" t="str">
        <f>IFERROR(INDEX(MOTORISTAS!$H:$H,MATCH($I3,MOTORISTAS!$A:$A,0)),"")</f>
        <v>%_FRETE</v>
      </c>
      <c r="V3" s="21">
        <f>IFERROR(INDEX(MOTORISTAS!$I:$I,MATCH($I3,MOTORISTAS!$A:$A,0)),0)</f>
        <v>0.12</v>
      </c>
      <c r="W3" s="16">
        <f>MAX(0,IF($U3="%_FRETE",$S3*$V3,IF($U3="R$/KM",IFERROR(INDEX(CARGAS!$I:$I,MATCH($D3,CARGAS!$A:$A,0)),0)*$V3*$O3-$P3-$Q3,IF($U3="FIXO_VEICULO",$V3-$P3-$Q3,0))))</f>
        <v>76.235294117647058</v>
      </c>
      <c r="X3" s="16">
        <f t="shared" si="5"/>
        <v>360.62508858965271</v>
      </c>
      <c r="Y3" s="15" t="str">
        <f t="shared" si="6"/>
        <v>OK</v>
      </c>
    </row>
    <row r="4" spans="1:25" x14ac:dyDescent="0.25">
      <c r="A4" s="11" t="s">
        <v>367</v>
      </c>
      <c r="B4" s="11" t="s">
        <v>255</v>
      </c>
      <c r="C4" s="11">
        <v>1</v>
      </c>
      <c r="D4" s="11" t="s">
        <v>331</v>
      </c>
      <c r="E4" s="18">
        <f>IFERROR(INDEX(CARGAS!$B:$B,MATCH($D4,CARGAS!$A:$A,0)),"")</f>
        <v>46206</v>
      </c>
      <c r="F4" s="11" t="s">
        <v>95</v>
      </c>
      <c r="G4" s="11" t="s">
        <v>124</v>
      </c>
      <c r="H4" s="11">
        <v>400</v>
      </c>
      <c r="I4" s="11" t="s">
        <v>149</v>
      </c>
      <c r="J4" s="19">
        <f t="shared" si="0"/>
        <v>0.47058823529411764</v>
      </c>
      <c r="K4" s="20"/>
      <c r="L4" s="19">
        <f t="shared" si="1"/>
        <v>0.47058823529411764</v>
      </c>
      <c r="M4" s="16">
        <f>IFERROR(INDEX(ITENS_PEDIDO!$Q:$Q,MATCH($B4,ITENS_PEDIDO!$A:$A,0)),0)</f>
        <v>1300</v>
      </c>
      <c r="N4" s="16">
        <f t="shared" si="2"/>
        <v>611.76470588235293</v>
      </c>
      <c r="O4" s="19">
        <f t="shared" si="3"/>
        <v>0.15662650602409639</v>
      </c>
      <c r="P4" s="16">
        <f>SUMIFS(CUSTOS!$H:$H,CUSTOS!$D:$D,$A4,CUSTOS!$J:$J,"SIM")</f>
        <v>0</v>
      </c>
      <c r="Q4" s="16">
        <f>$O4*SUMIFS(CUSTOS!$H:$H,CUSTOS!$C:$C,$D4,CUSTOS!$B:$B,"CARGA",CUSTOS!$J:$J,"SIM")</f>
        <v>0</v>
      </c>
      <c r="R4" s="16">
        <f>SUMIFS(CUSTOS!$H:$H,CUSTOS!$D:$D,$A4,CUSTOS!$I:$I,"EMPRESA")+$O4*SUMIFS(CUSTOS!$H:$H,CUSTOS!$C:$C,$D4,CUSTOS!$B:$B,"CARGA",CUSTOS!$I:$I,"EMPRESA")</f>
        <v>191.0843373493976</v>
      </c>
      <c r="S4" s="16">
        <f t="shared" si="4"/>
        <v>611.76470588235293</v>
      </c>
      <c r="T4" s="15" t="str">
        <f>IFERROR(INDEX(MOTORISTAS!$F:$F,MATCH($I4,MOTORISTAS!$A:$A,0)),"")</f>
        <v>FROTA</v>
      </c>
      <c r="U4" s="15" t="str">
        <f>IFERROR(INDEX(MOTORISTAS!$H:$H,MATCH($I4,MOTORISTAS!$A:$A,0)),"")</f>
        <v>%_FRETE</v>
      </c>
      <c r="V4" s="21">
        <f>IFERROR(INDEX(MOTORISTAS!$I:$I,MATCH($I4,MOTORISTAS!$A:$A,0)),0)</f>
        <v>0.12</v>
      </c>
      <c r="W4" s="16">
        <f>MAX(0,IF($U4="%_FRETE",$S4*$V4,IF($U4="R$/KM",IFERROR(INDEX(CARGAS!$I:$I,MATCH($D4,CARGAS!$A:$A,0)),0)*$V4*$O4-$P4-$Q4,IF($U4="FIXO_VEICULO",$V4-$P4-$Q4,0))))</f>
        <v>73.411764705882348</v>
      </c>
      <c r="X4" s="16">
        <f t="shared" si="5"/>
        <v>347.26860382707298</v>
      </c>
      <c r="Y4" s="15" t="str">
        <f t="shared" si="6"/>
        <v>OK</v>
      </c>
    </row>
    <row r="5" spans="1:25" x14ac:dyDescent="0.25">
      <c r="A5" s="11" t="s">
        <v>368</v>
      </c>
      <c r="B5" s="11" t="s">
        <v>260</v>
      </c>
      <c r="C5" s="11">
        <v>1</v>
      </c>
      <c r="D5" s="11" t="s">
        <v>331</v>
      </c>
      <c r="E5" s="18">
        <f>IFERROR(INDEX(CARGAS!$B:$B,MATCH($D5,CARGAS!$A:$A,0)),"")</f>
        <v>46206</v>
      </c>
      <c r="F5" s="11" t="s">
        <v>95</v>
      </c>
      <c r="G5" s="11" t="s">
        <v>124</v>
      </c>
      <c r="H5" s="11">
        <v>400</v>
      </c>
      <c r="I5" s="11" t="s">
        <v>149</v>
      </c>
      <c r="J5" s="19">
        <f t="shared" si="0"/>
        <v>0.55555555555555558</v>
      </c>
      <c r="K5" s="20"/>
      <c r="L5" s="19">
        <f t="shared" si="1"/>
        <v>0.55555555555555558</v>
      </c>
      <c r="M5" s="16">
        <f>IFERROR(INDEX(ITENS_PEDIDO!$Q:$Q,MATCH($B5,ITENS_PEDIDO!$A:$A,0)),0)</f>
        <v>1250</v>
      </c>
      <c r="N5" s="16">
        <f t="shared" si="2"/>
        <v>694.44444444444446</v>
      </c>
      <c r="O5" s="19">
        <f t="shared" si="3"/>
        <v>0.17779451137884872</v>
      </c>
      <c r="P5" s="16">
        <f>SUMIFS(CUSTOS!$H:$H,CUSTOS!$D:$D,$A5,CUSTOS!$J:$J,"SIM")</f>
        <v>0</v>
      </c>
      <c r="Q5" s="16">
        <f>$O5*SUMIFS(CUSTOS!$H:$H,CUSTOS!$C:$C,$D5,CUSTOS!$B:$B,"CARGA",CUSTOS!$J:$J,"SIM")</f>
        <v>0</v>
      </c>
      <c r="R5" s="16">
        <f>SUMIFS(CUSTOS!$H:$H,CUSTOS!$D:$D,$A5,CUSTOS!$I:$I,"EMPRESA")+$O5*SUMIFS(CUSTOS!$H:$H,CUSTOS!$C:$C,$D5,CUSTOS!$B:$B,"CARGA",CUSTOS!$I:$I,"EMPRESA")</f>
        <v>216.90930388219545</v>
      </c>
      <c r="S5" s="16">
        <f t="shared" si="4"/>
        <v>694.44444444444446</v>
      </c>
      <c r="T5" s="15" t="str">
        <f>IFERROR(INDEX(MOTORISTAS!$F:$F,MATCH($I5,MOTORISTAS!$A:$A,0)),"")</f>
        <v>FROTA</v>
      </c>
      <c r="U5" s="15" t="str">
        <f>IFERROR(INDEX(MOTORISTAS!$H:$H,MATCH($I5,MOTORISTAS!$A:$A,0)),"")</f>
        <v>%_FRETE</v>
      </c>
      <c r="V5" s="21">
        <f>IFERROR(INDEX(MOTORISTAS!$I:$I,MATCH($I5,MOTORISTAS!$A:$A,0)),0)</f>
        <v>0.12</v>
      </c>
      <c r="W5" s="16">
        <f>MAX(0,IF($U5="%_FRETE",$S5*$V5,IF($U5="R$/KM",IFERROR(INDEX(CARGAS!$I:$I,MATCH($D5,CARGAS!$A:$A,0)),0)*$V5*$O5-$P5-$Q5,IF($U5="FIXO_VEICULO",$V5-$P5-$Q5,0))))</f>
        <v>83.333333333333329</v>
      </c>
      <c r="X5" s="16">
        <f t="shared" si="5"/>
        <v>394.20180722891564</v>
      </c>
      <c r="Y5" s="15" t="str">
        <f t="shared" si="6"/>
        <v>OK</v>
      </c>
    </row>
    <row r="6" spans="1:25" x14ac:dyDescent="0.25">
      <c r="A6" s="11" t="s">
        <v>369</v>
      </c>
      <c r="B6" s="11" t="s">
        <v>265</v>
      </c>
      <c r="C6" s="11">
        <v>1</v>
      </c>
      <c r="D6" s="11" t="s">
        <v>331</v>
      </c>
      <c r="E6" s="18">
        <f>IFERROR(INDEX(CARGAS!$B:$B,MATCH($D6,CARGAS!$A:$A,0)),"")</f>
        <v>46206</v>
      </c>
      <c r="F6" s="11" t="s">
        <v>95</v>
      </c>
      <c r="G6" s="11" t="s">
        <v>124</v>
      </c>
      <c r="H6" s="11">
        <v>400</v>
      </c>
      <c r="I6" s="11" t="s">
        <v>149</v>
      </c>
      <c r="J6" s="19">
        <f t="shared" si="0"/>
        <v>0.55555555555555558</v>
      </c>
      <c r="K6" s="20"/>
      <c r="L6" s="19">
        <f t="shared" si="1"/>
        <v>0.55555555555555558</v>
      </c>
      <c r="M6" s="16">
        <f>IFERROR(INDEX(ITENS_PEDIDO!$Q:$Q,MATCH($B6,ITENS_PEDIDO!$A:$A,0)),0)</f>
        <v>1200</v>
      </c>
      <c r="N6" s="16">
        <f t="shared" si="2"/>
        <v>666.66666666666674</v>
      </c>
      <c r="O6" s="19">
        <f t="shared" si="3"/>
        <v>0.17068273092369479</v>
      </c>
      <c r="P6" s="16">
        <f>SUMIFS(CUSTOS!$H:$H,CUSTOS!$D:$D,$A6,CUSTOS!$J:$J,"SIM")</f>
        <v>0</v>
      </c>
      <c r="Q6" s="16">
        <f>$O6*SUMIFS(CUSTOS!$H:$H,CUSTOS!$C:$C,$D6,CUSTOS!$B:$B,"CARGA",CUSTOS!$J:$J,"SIM")</f>
        <v>0</v>
      </c>
      <c r="R6" s="16">
        <f>SUMIFS(CUSTOS!$H:$H,CUSTOS!$D:$D,$A6,CUSTOS!$I:$I,"EMPRESA")+$O6*SUMIFS(CUSTOS!$H:$H,CUSTOS!$C:$C,$D6,CUSTOS!$B:$B,"CARGA",CUSTOS!$I:$I,"EMPRESA")</f>
        <v>208.23293172690765</v>
      </c>
      <c r="S6" s="16">
        <f t="shared" si="4"/>
        <v>666.66666666666674</v>
      </c>
      <c r="T6" s="15" t="str">
        <f>IFERROR(INDEX(MOTORISTAS!$F:$F,MATCH($I6,MOTORISTAS!$A:$A,0)),"")</f>
        <v>FROTA</v>
      </c>
      <c r="U6" s="15" t="str">
        <f>IFERROR(INDEX(MOTORISTAS!$H:$H,MATCH($I6,MOTORISTAS!$A:$A,0)),"")</f>
        <v>%_FRETE</v>
      </c>
      <c r="V6" s="21">
        <f>IFERROR(INDEX(MOTORISTAS!$I:$I,MATCH($I6,MOTORISTAS!$A:$A,0)),0)</f>
        <v>0.12</v>
      </c>
      <c r="W6" s="16">
        <f>MAX(0,IF($U6="%_FRETE",$S6*$V6,IF($U6="R$/KM",IFERROR(INDEX(CARGAS!$I:$I,MATCH($D6,CARGAS!$A:$A,0)),0)*$V6*$O6-$P6-$Q6,IF($U6="FIXO_VEICULO",$V6-$P6-$Q6,0))))</f>
        <v>80</v>
      </c>
      <c r="X6" s="16">
        <f t="shared" si="5"/>
        <v>378.43373493975912</v>
      </c>
      <c r="Y6" s="15" t="str">
        <f t="shared" si="6"/>
        <v>OK</v>
      </c>
    </row>
    <row r="7" spans="1:25" x14ac:dyDescent="0.25">
      <c r="A7" s="11" t="s">
        <v>370</v>
      </c>
      <c r="B7" s="11" t="s">
        <v>270</v>
      </c>
      <c r="C7" s="11">
        <v>1</v>
      </c>
      <c r="D7" s="11" t="s">
        <v>331</v>
      </c>
      <c r="E7" s="18">
        <f>IFERROR(INDEX(CARGAS!$B:$B,MATCH($D7,CARGAS!$A:$A,0)),"")</f>
        <v>46206</v>
      </c>
      <c r="F7" s="11" t="s">
        <v>95</v>
      </c>
      <c r="G7" s="11" t="s">
        <v>124</v>
      </c>
      <c r="H7" s="11">
        <v>400</v>
      </c>
      <c r="I7" s="11" t="s">
        <v>149</v>
      </c>
      <c r="J7" s="19">
        <f t="shared" si="0"/>
        <v>0.55555555555555558</v>
      </c>
      <c r="K7" s="20"/>
      <c r="L7" s="19">
        <f t="shared" si="1"/>
        <v>0.55555555555555558</v>
      </c>
      <c r="M7" s="16">
        <f>IFERROR(INDEX(ITENS_PEDIDO!$Q:$Q,MATCH($B7,ITENS_PEDIDO!$A:$A,0)),0)</f>
        <v>1150</v>
      </c>
      <c r="N7" s="16">
        <f t="shared" si="2"/>
        <v>638.88888888888891</v>
      </c>
      <c r="O7" s="19">
        <f t="shared" si="3"/>
        <v>0.16357095046854084</v>
      </c>
      <c r="P7" s="16">
        <f>SUMIFS(CUSTOS!$H:$H,CUSTOS!$D:$D,$A7,CUSTOS!$J:$J,"SIM")</f>
        <v>0</v>
      </c>
      <c r="Q7" s="16">
        <f>$O7*SUMIFS(CUSTOS!$H:$H,CUSTOS!$C:$C,$D7,CUSTOS!$B:$B,"CARGA",CUSTOS!$J:$J,"SIM")</f>
        <v>0</v>
      </c>
      <c r="R7" s="16">
        <f>SUMIFS(CUSTOS!$H:$H,CUSTOS!$D:$D,$A7,CUSTOS!$I:$I,"EMPRESA")+$O7*SUMIFS(CUSTOS!$H:$H,CUSTOS!$C:$C,$D7,CUSTOS!$B:$B,"CARGA",CUSTOS!$I:$I,"EMPRESA")</f>
        <v>199.55655957161983</v>
      </c>
      <c r="S7" s="16">
        <f t="shared" si="4"/>
        <v>638.88888888888891</v>
      </c>
      <c r="T7" s="15" t="str">
        <f>IFERROR(INDEX(MOTORISTAS!$F:$F,MATCH($I7,MOTORISTAS!$A:$A,0)),"")</f>
        <v>FROTA</v>
      </c>
      <c r="U7" s="15" t="str">
        <f>IFERROR(INDEX(MOTORISTAS!$H:$H,MATCH($I7,MOTORISTAS!$A:$A,0)),"")</f>
        <v>%_FRETE</v>
      </c>
      <c r="V7" s="21">
        <f>IFERROR(INDEX(MOTORISTAS!$I:$I,MATCH($I7,MOTORISTAS!$A:$A,0)),0)</f>
        <v>0.12</v>
      </c>
      <c r="W7" s="16">
        <f>MAX(0,IF($U7="%_FRETE",$S7*$V7,IF($U7="R$/KM",IFERROR(INDEX(CARGAS!$I:$I,MATCH($D7,CARGAS!$A:$A,0)),0)*$V7*$O7-$P7-$Q7,IF($U7="FIXO_VEICULO",$V7-$P7-$Q7,0))))</f>
        <v>76.666666666666671</v>
      </c>
      <c r="X7" s="16">
        <f t="shared" si="5"/>
        <v>362.66566265060248</v>
      </c>
      <c r="Y7" s="15" t="str">
        <f t="shared" si="6"/>
        <v>OK</v>
      </c>
    </row>
    <row r="8" spans="1:25" x14ac:dyDescent="0.25">
      <c r="A8" s="11" t="s">
        <v>371</v>
      </c>
      <c r="B8" s="11" t="s">
        <v>241</v>
      </c>
      <c r="C8" s="11">
        <v>2</v>
      </c>
      <c r="D8" s="11" t="s">
        <v>335</v>
      </c>
      <c r="E8" s="18">
        <f>IFERROR(INDEX(CARGAS!$B:$B,MATCH($D8,CARGAS!$A:$A,0)),"")</f>
        <v>46207</v>
      </c>
      <c r="F8" s="11" t="s">
        <v>124</v>
      </c>
      <c r="G8" s="11" t="s">
        <v>106</v>
      </c>
      <c r="H8" s="11">
        <v>450</v>
      </c>
      <c r="I8" s="11" t="s">
        <v>165</v>
      </c>
      <c r="J8" s="19">
        <f t="shared" si="0"/>
        <v>0.52941176470588236</v>
      </c>
      <c r="K8" s="20"/>
      <c r="L8" s="19">
        <f t="shared" si="1"/>
        <v>0.52941176470588236</v>
      </c>
      <c r="M8" s="16">
        <f>IFERROR(INDEX(ITENS_PEDIDO!$Q:$Q,MATCH($B8,ITENS_PEDIDO!$A:$A,0)),0)</f>
        <v>1400</v>
      </c>
      <c r="N8" s="16">
        <f t="shared" si="2"/>
        <v>741.17647058823525</v>
      </c>
      <c r="O8" s="19">
        <f t="shared" si="3"/>
        <v>0.19795758051846032</v>
      </c>
      <c r="P8" s="16">
        <f>SUMIFS(CUSTOS!$H:$H,CUSTOS!$D:$D,$A8,CUSTOS!$J:$J,"SIM")</f>
        <v>0</v>
      </c>
      <c r="Q8" s="16">
        <f>$O8*SUMIFS(CUSTOS!$H:$H,CUSTOS!$C:$C,$D8,CUSTOS!$B:$B,"CARGA",CUSTOS!$J:$J,"SIM")</f>
        <v>0</v>
      </c>
      <c r="R8" s="16">
        <f>SUMIFS(CUSTOS!$H:$H,CUSTOS!$D:$D,$A8,CUSTOS!$I:$I,"EMPRESA")+$O8*SUMIFS(CUSTOS!$H:$H,CUSTOS!$C:$C,$D8,CUSTOS!$B:$B,"CARGA",CUSTOS!$I:$I,"EMPRESA")</f>
        <v>0</v>
      </c>
      <c r="S8" s="16">
        <f t="shared" si="4"/>
        <v>741.17647058823525</v>
      </c>
      <c r="T8" s="15" t="str">
        <f>IFERROR(INDEX(MOTORISTAS!$F:$F,MATCH($I8,MOTORISTAS!$A:$A,0)),"")</f>
        <v>TERCEIRO</v>
      </c>
      <c r="U8" s="15" t="str">
        <f>IFERROR(INDEX(MOTORISTAS!$H:$H,MATCH($I8,MOTORISTAS!$A:$A,0)),"")</f>
        <v>%_FRETE</v>
      </c>
      <c r="V8" s="21">
        <f>IFERROR(INDEX(MOTORISTAS!$I:$I,MATCH($I8,MOTORISTAS!$A:$A,0)),0)</f>
        <v>0.7</v>
      </c>
      <c r="W8" s="16">
        <f>MAX(0,IF($U8="%_FRETE",$S8*$V8,IF($U8="R$/KM",IFERROR(INDEX(CARGAS!$I:$I,MATCH($D8,CARGAS!$A:$A,0)),0)*$V8*$O8-$P8-$Q8,IF($U8="FIXO_VEICULO",$V8-$P8-$Q8,0))))</f>
        <v>518.82352941176464</v>
      </c>
      <c r="X8" s="16">
        <f t="shared" si="5"/>
        <v>222.35294117647061</v>
      </c>
      <c r="Y8" s="15" t="str">
        <f t="shared" si="6"/>
        <v>OK</v>
      </c>
    </row>
    <row r="9" spans="1:25" x14ac:dyDescent="0.25">
      <c r="A9" s="11" t="s">
        <v>372</v>
      </c>
      <c r="B9" s="11" t="s">
        <v>250</v>
      </c>
      <c r="C9" s="11">
        <v>2</v>
      </c>
      <c r="D9" s="11" t="s">
        <v>335</v>
      </c>
      <c r="E9" s="18">
        <f>IFERROR(INDEX(CARGAS!$B:$B,MATCH($D9,CARGAS!$A:$A,0)),"")</f>
        <v>46207</v>
      </c>
      <c r="F9" s="11" t="s">
        <v>124</v>
      </c>
      <c r="G9" s="11" t="s">
        <v>106</v>
      </c>
      <c r="H9" s="11">
        <v>450</v>
      </c>
      <c r="I9" s="11" t="s">
        <v>165</v>
      </c>
      <c r="J9" s="19">
        <f t="shared" si="0"/>
        <v>0.52941176470588236</v>
      </c>
      <c r="K9" s="20"/>
      <c r="L9" s="19">
        <f t="shared" si="1"/>
        <v>0.52941176470588236</v>
      </c>
      <c r="M9" s="16">
        <f>IFERROR(INDEX(ITENS_PEDIDO!$Q:$Q,MATCH($B9,ITENS_PEDIDO!$A:$A,0)),0)</f>
        <v>1350</v>
      </c>
      <c r="N9" s="16">
        <f t="shared" si="2"/>
        <v>714.70588235294122</v>
      </c>
      <c r="O9" s="19">
        <f t="shared" si="3"/>
        <v>0.19088766692851533</v>
      </c>
      <c r="P9" s="16">
        <f>SUMIFS(CUSTOS!$H:$H,CUSTOS!$D:$D,$A9,CUSTOS!$J:$J,"SIM")</f>
        <v>0</v>
      </c>
      <c r="Q9" s="16">
        <f>$O9*SUMIFS(CUSTOS!$H:$H,CUSTOS!$C:$C,$D9,CUSTOS!$B:$B,"CARGA",CUSTOS!$J:$J,"SIM")</f>
        <v>0</v>
      </c>
      <c r="R9" s="16">
        <f>SUMIFS(CUSTOS!$H:$H,CUSTOS!$D:$D,$A9,CUSTOS!$I:$I,"EMPRESA")+$O9*SUMIFS(CUSTOS!$H:$H,CUSTOS!$C:$C,$D9,CUSTOS!$B:$B,"CARGA",CUSTOS!$I:$I,"EMPRESA")</f>
        <v>0</v>
      </c>
      <c r="S9" s="16">
        <f t="shared" si="4"/>
        <v>714.70588235294122</v>
      </c>
      <c r="T9" s="15" t="str">
        <f>IFERROR(INDEX(MOTORISTAS!$F:$F,MATCH($I9,MOTORISTAS!$A:$A,0)),"")</f>
        <v>TERCEIRO</v>
      </c>
      <c r="U9" s="15" t="str">
        <f>IFERROR(INDEX(MOTORISTAS!$H:$H,MATCH($I9,MOTORISTAS!$A:$A,0)),"")</f>
        <v>%_FRETE</v>
      </c>
      <c r="V9" s="21">
        <f>IFERROR(INDEX(MOTORISTAS!$I:$I,MATCH($I9,MOTORISTAS!$A:$A,0)),0)</f>
        <v>0.7</v>
      </c>
      <c r="W9" s="16">
        <f>MAX(0,IF($U9="%_FRETE",$S9*$V9,IF($U9="R$/KM",IFERROR(INDEX(CARGAS!$I:$I,MATCH($D9,CARGAS!$A:$A,0)),0)*$V9*$O9-$P9-$Q9,IF($U9="FIXO_VEICULO",$V9-$P9-$Q9,0))))</f>
        <v>500.29411764705884</v>
      </c>
      <c r="X9" s="16">
        <f t="shared" si="5"/>
        <v>214.41176470588238</v>
      </c>
      <c r="Y9" s="15" t="str">
        <f t="shared" si="6"/>
        <v>OK</v>
      </c>
    </row>
    <row r="10" spans="1:25" x14ac:dyDescent="0.25">
      <c r="A10" s="11" t="s">
        <v>373</v>
      </c>
      <c r="B10" s="11" t="s">
        <v>255</v>
      </c>
      <c r="C10" s="11">
        <v>2</v>
      </c>
      <c r="D10" s="11" t="s">
        <v>335</v>
      </c>
      <c r="E10" s="18">
        <f>IFERROR(INDEX(CARGAS!$B:$B,MATCH($D10,CARGAS!$A:$A,0)),"")</f>
        <v>46207</v>
      </c>
      <c r="F10" s="11" t="s">
        <v>124</v>
      </c>
      <c r="G10" s="11" t="s">
        <v>106</v>
      </c>
      <c r="H10" s="11">
        <v>450</v>
      </c>
      <c r="I10" s="11" t="s">
        <v>165</v>
      </c>
      <c r="J10" s="19">
        <f t="shared" si="0"/>
        <v>0.52941176470588236</v>
      </c>
      <c r="K10" s="20"/>
      <c r="L10" s="19">
        <f t="shared" si="1"/>
        <v>0.52941176470588236</v>
      </c>
      <c r="M10" s="16">
        <f>IFERROR(INDEX(ITENS_PEDIDO!$Q:$Q,MATCH($B10,ITENS_PEDIDO!$A:$A,0)),0)</f>
        <v>1300</v>
      </c>
      <c r="N10" s="16">
        <f t="shared" si="2"/>
        <v>688.23529411764707</v>
      </c>
      <c r="O10" s="19">
        <f t="shared" si="3"/>
        <v>0.18381775333857031</v>
      </c>
      <c r="P10" s="16">
        <f>SUMIFS(CUSTOS!$H:$H,CUSTOS!$D:$D,$A10,CUSTOS!$J:$J,"SIM")</f>
        <v>0</v>
      </c>
      <c r="Q10" s="16">
        <f>$O10*SUMIFS(CUSTOS!$H:$H,CUSTOS!$C:$C,$D10,CUSTOS!$B:$B,"CARGA",CUSTOS!$J:$J,"SIM")</f>
        <v>0</v>
      </c>
      <c r="R10" s="16">
        <f>SUMIFS(CUSTOS!$H:$H,CUSTOS!$D:$D,$A10,CUSTOS!$I:$I,"EMPRESA")+$O10*SUMIFS(CUSTOS!$H:$H,CUSTOS!$C:$C,$D10,CUSTOS!$B:$B,"CARGA",CUSTOS!$I:$I,"EMPRESA")</f>
        <v>0</v>
      </c>
      <c r="S10" s="16">
        <f t="shared" si="4"/>
        <v>688.23529411764707</v>
      </c>
      <c r="T10" s="15" t="str">
        <f>IFERROR(INDEX(MOTORISTAS!$F:$F,MATCH($I10,MOTORISTAS!$A:$A,0)),"")</f>
        <v>TERCEIRO</v>
      </c>
      <c r="U10" s="15" t="str">
        <f>IFERROR(INDEX(MOTORISTAS!$H:$H,MATCH($I10,MOTORISTAS!$A:$A,0)),"")</f>
        <v>%_FRETE</v>
      </c>
      <c r="V10" s="21">
        <f>IFERROR(INDEX(MOTORISTAS!$I:$I,MATCH($I10,MOTORISTAS!$A:$A,0)),0)</f>
        <v>0.7</v>
      </c>
      <c r="W10" s="16">
        <f>MAX(0,IF($U10="%_FRETE",$S10*$V10,IF($U10="R$/KM",IFERROR(INDEX(CARGAS!$I:$I,MATCH($D10,CARGAS!$A:$A,0)),0)*$V10*$O10-$P10-$Q10,IF($U10="FIXO_VEICULO",$V10-$P10-$Q10,0))))</f>
        <v>481.76470588235293</v>
      </c>
      <c r="X10" s="16">
        <f t="shared" si="5"/>
        <v>206.47058823529414</v>
      </c>
      <c r="Y10" s="15" t="str">
        <f t="shared" si="6"/>
        <v>OK</v>
      </c>
    </row>
    <row r="11" spans="1:25" x14ac:dyDescent="0.25">
      <c r="A11" s="11" t="s">
        <v>374</v>
      </c>
      <c r="B11" s="11" t="s">
        <v>260</v>
      </c>
      <c r="C11" s="11">
        <v>2</v>
      </c>
      <c r="D11" s="11" t="s">
        <v>335</v>
      </c>
      <c r="E11" s="18">
        <f>IFERROR(INDEX(CARGAS!$B:$B,MATCH($D11,CARGAS!$A:$A,0)),"")</f>
        <v>46207</v>
      </c>
      <c r="F11" s="11" t="s">
        <v>124</v>
      </c>
      <c r="G11" s="11" t="s">
        <v>133</v>
      </c>
      <c r="H11" s="11">
        <v>320</v>
      </c>
      <c r="I11" s="11" t="s">
        <v>165</v>
      </c>
      <c r="J11" s="19">
        <f t="shared" si="0"/>
        <v>0.44444444444444442</v>
      </c>
      <c r="K11" s="20"/>
      <c r="L11" s="19">
        <f t="shared" si="1"/>
        <v>0.44444444444444442</v>
      </c>
      <c r="M11" s="16">
        <f>IFERROR(INDEX(ITENS_PEDIDO!$Q:$Q,MATCH($B11,ITENS_PEDIDO!$A:$A,0)),0)</f>
        <v>1250</v>
      </c>
      <c r="N11" s="16">
        <f t="shared" si="2"/>
        <v>555.55555555555554</v>
      </c>
      <c r="O11" s="19">
        <f t="shared" si="3"/>
        <v>0.14838090250501876</v>
      </c>
      <c r="P11" s="16">
        <f>SUMIFS(CUSTOS!$H:$H,CUSTOS!$D:$D,$A11,CUSTOS!$J:$J,"SIM")</f>
        <v>0</v>
      </c>
      <c r="Q11" s="16">
        <f>$O11*SUMIFS(CUSTOS!$H:$H,CUSTOS!$C:$C,$D11,CUSTOS!$B:$B,"CARGA",CUSTOS!$J:$J,"SIM")</f>
        <v>0</v>
      </c>
      <c r="R11" s="16">
        <f>SUMIFS(CUSTOS!$H:$H,CUSTOS!$D:$D,$A11,CUSTOS!$I:$I,"EMPRESA")+$O11*SUMIFS(CUSTOS!$H:$H,CUSTOS!$C:$C,$D11,CUSTOS!$B:$B,"CARGA",CUSTOS!$I:$I,"EMPRESA")</f>
        <v>0</v>
      </c>
      <c r="S11" s="16">
        <f t="shared" si="4"/>
        <v>555.55555555555554</v>
      </c>
      <c r="T11" s="15" t="str">
        <f>IFERROR(INDEX(MOTORISTAS!$F:$F,MATCH($I11,MOTORISTAS!$A:$A,0)),"")</f>
        <v>TERCEIRO</v>
      </c>
      <c r="U11" s="15" t="str">
        <f>IFERROR(INDEX(MOTORISTAS!$H:$H,MATCH($I11,MOTORISTAS!$A:$A,0)),"")</f>
        <v>%_FRETE</v>
      </c>
      <c r="V11" s="21">
        <f>IFERROR(INDEX(MOTORISTAS!$I:$I,MATCH($I11,MOTORISTAS!$A:$A,0)),0)</f>
        <v>0.7</v>
      </c>
      <c r="W11" s="16">
        <f>MAX(0,IF($U11="%_FRETE",$S11*$V11,IF($U11="R$/KM",IFERROR(INDEX(CARGAS!$I:$I,MATCH($D11,CARGAS!$A:$A,0)),0)*$V11*$O11-$P11-$Q11,IF($U11="FIXO_VEICULO",$V11-$P11-$Q11,0))))</f>
        <v>388.88888888888886</v>
      </c>
      <c r="X11" s="16">
        <f t="shared" si="5"/>
        <v>166.66666666666669</v>
      </c>
      <c r="Y11" s="15" t="str">
        <f t="shared" si="6"/>
        <v>OK</v>
      </c>
    </row>
    <row r="12" spans="1:25" x14ac:dyDescent="0.25">
      <c r="A12" s="11" t="s">
        <v>375</v>
      </c>
      <c r="B12" s="11" t="s">
        <v>265</v>
      </c>
      <c r="C12" s="11">
        <v>2</v>
      </c>
      <c r="D12" s="11" t="s">
        <v>335</v>
      </c>
      <c r="E12" s="18">
        <f>IFERROR(INDEX(CARGAS!$B:$B,MATCH($D12,CARGAS!$A:$A,0)),"")</f>
        <v>46207</v>
      </c>
      <c r="F12" s="11" t="s">
        <v>124</v>
      </c>
      <c r="G12" s="11" t="s">
        <v>133</v>
      </c>
      <c r="H12" s="11">
        <v>320</v>
      </c>
      <c r="I12" s="11" t="s">
        <v>165</v>
      </c>
      <c r="J12" s="19">
        <f t="shared" si="0"/>
        <v>0.44444444444444442</v>
      </c>
      <c r="K12" s="20"/>
      <c r="L12" s="19">
        <f t="shared" si="1"/>
        <v>0.44444444444444442</v>
      </c>
      <c r="M12" s="16">
        <f>IFERROR(INDEX(ITENS_PEDIDO!$Q:$Q,MATCH($B12,ITENS_PEDIDO!$A:$A,0)),0)</f>
        <v>1200</v>
      </c>
      <c r="N12" s="16">
        <f t="shared" si="2"/>
        <v>533.33333333333326</v>
      </c>
      <c r="O12" s="19">
        <f t="shared" si="3"/>
        <v>0.14244566640481801</v>
      </c>
      <c r="P12" s="16">
        <f>SUMIFS(CUSTOS!$H:$H,CUSTOS!$D:$D,$A12,CUSTOS!$J:$J,"SIM")</f>
        <v>0</v>
      </c>
      <c r="Q12" s="16">
        <f>$O12*SUMIFS(CUSTOS!$H:$H,CUSTOS!$C:$C,$D12,CUSTOS!$B:$B,"CARGA",CUSTOS!$J:$J,"SIM")</f>
        <v>0</v>
      </c>
      <c r="R12" s="16">
        <f>SUMIFS(CUSTOS!$H:$H,CUSTOS!$D:$D,$A12,CUSTOS!$I:$I,"EMPRESA")+$O12*SUMIFS(CUSTOS!$H:$H,CUSTOS!$C:$C,$D12,CUSTOS!$B:$B,"CARGA",CUSTOS!$I:$I,"EMPRESA")</f>
        <v>0</v>
      </c>
      <c r="S12" s="16">
        <f t="shared" si="4"/>
        <v>533.33333333333326</v>
      </c>
      <c r="T12" s="15" t="str">
        <f>IFERROR(INDEX(MOTORISTAS!$F:$F,MATCH($I12,MOTORISTAS!$A:$A,0)),"")</f>
        <v>TERCEIRO</v>
      </c>
      <c r="U12" s="15" t="str">
        <f>IFERROR(INDEX(MOTORISTAS!$H:$H,MATCH($I12,MOTORISTAS!$A:$A,0)),"")</f>
        <v>%_FRETE</v>
      </c>
      <c r="V12" s="21">
        <f>IFERROR(INDEX(MOTORISTAS!$I:$I,MATCH($I12,MOTORISTAS!$A:$A,0)),0)</f>
        <v>0.7</v>
      </c>
      <c r="W12" s="16">
        <f>MAX(0,IF($U12="%_FRETE",$S12*$V12,IF($U12="R$/KM",IFERROR(INDEX(CARGAS!$I:$I,MATCH($D12,CARGAS!$A:$A,0)),0)*$V12*$O12-$P12-$Q12,IF($U12="FIXO_VEICULO",$V12-$P12-$Q12,0))))</f>
        <v>373.33333333333326</v>
      </c>
      <c r="X12" s="16">
        <f t="shared" si="5"/>
        <v>160</v>
      </c>
      <c r="Y12" s="15" t="str">
        <f t="shared" si="6"/>
        <v>OK</v>
      </c>
    </row>
    <row r="13" spans="1:25" x14ac:dyDescent="0.25">
      <c r="A13" s="11" t="s">
        <v>376</v>
      </c>
      <c r="B13" s="11" t="s">
        <v>270</v>
      </c>
      <c r="C13" s="11">
        <v>2</v>
      </c>
      <c r="D13" s="11" t="s">
        <v>335</v>
      </c>
      <c r="E13" s="18">
        <f>IFERROR(INDEX(CARGAS!$B:$B,MATCH($D13,CARGAS!$A:$A,0)),"")</f>
        <v>46207</v>
      </c>
      <c r="F13" s="11" t="s">
        <v>124</v>
      </c>
      <c r="G13" s="11" t="s">
        <v>133</v>
      </c>
      <c r="H13" s="11">
        <v>320</v>
      </c>
      <c r="I13" s="11" t="s">
        <v>165</v>
      </c>
      <c r="J13" s="19">
        <f t="shared" si="0"/>
        <v>0.44444444444444442</v>
      </c>
      <c r="K13" s="20"/>
      <c r="L13" s="19">
        <f t="shared" si="1"/>
        <v>0.44444444444444442</v>
      </c>
      <c r="M13" s="16">
        <f>IFERROR(INDEX(ITENS_PEDIDO!$Q:$Q,MATCH($B13,ITENS_PEDIDO!$A:$A,0)),0)</f>
        <v>1150</v>
      </c>
      <c r="N13" s="16">
        <f t="shared" si="2"/>
        <v>511.11111111111109</v>
      </c>
      <c r="O13" s="19">
        <f t="shared" si="3"/>
        <v>0.13651043030461726</v>
      </c>
      <c r="P13" s="16">
        <f>SUMIFS(CUSTOS!$H:$H,CUSTOS!$D:$D,$A13,CUSTOS!$J:$J,"SIM")</f>
        <v>0</v>
      </c>
      <c r="Q13" s="16">
        <f>$O13*SUMIFS(CUSTOS!$H:$H,CUSTOS!$C:$C,$D13,CUSTOS!$B:$B,"CARGA",CUSTOS!$J:$J,"SIM")</f>
        <v>0</v>
      </c>
      <c r="R13" s="16">
        <f>SUMIFS(CUSTOS!$H:$H,CUSTOS!$D:$D,$A13,CUSTOS!$I:$I,"EMPRESA")+$O13*SUMIFS(CUSTOS!$H:$H,CUSTOS!$C:$C,$D13,CUSTOS!$B:$B,"CARGA",CUSTOS!$I:$I,"EMPRESA")</f>
        <v>0</v>
      </c>
      <c r="S13" s="16">
        <f t="shared" si="4"/>
        <v>511.11111111111109</v>
      </c>
      <c r="T13" s="15" t="str">
        <f>IFERROR(INDEX(MOTORISTAS!$F:$F,MATCH($I13,MOTORISTAS!$A:$A,0)),"")</f>
        <v>TERCEIRO</v>
      </c>
      <c r="U13" s="15" t="str">
        <f>IFERROR(INDEX(MOTORISTAS!$H:$H,MATCH($I13,MOTORISTAS!$A:$A,0)),"")</f>
        <v>%_FRETE</v>
      </c>
      <c r="V13" s="21">
        <f>IFERROR(INDEX(MOTORISTAS!$I:$I,MATCH($I13,MOTORISTAS!$A:$A,0)),0)</f>
        <v>0.7</v>
      </c>
      <c r="W13" s="16">
        <f>MAX(0,IF($U13="%_FRETE",$S13*$V13,IF($U13="R$/KM",IFERROR(INDEX(CARGAS!$I:$I,MATCH($D13,CARGAS!$A:$A,0)),0)*$V13*$O13-$P13-$Q13,IF($U13="FIXO_VEICULO",$V13-$P13-$Q13,0))))</f>
        <v>357.77777777777771</v>
      </c>
      <c r="X13" s="16">
        <f t="shared" si="5"/>
        <v>153.33333333333337</v>
      </c>
      <c r="Y13" s="15" t="str">
        <f t="shared" si="6"/>
        <v>OK</v>
      </c>
    </row>
    <row r="14" spans="1:25" x14ac:dyDescent="0.25">
      <c r="A14" s="11" t="s">
        <v>377</v>
      </c>
      <c r="B14" s="11" t="s">
        <v>275</v>
      </c>
      <c r="C14" s="11">
        <v>1</v>
      </c>
      <c r="D14" s="11" t="s">
        <v>337</v>
      </c>
      <c r="E14" s="18">
        <f>IFERROR(INDEX(CARGAS!$B:$B,MATCH($D14,CARGAS!$A:$A,0)),"")</f>
        <v>46211</v>
      </c>
      <c r="F14" s="11" t="s">
        <v>116</v>
      </c>
      <c r="G14" s="11" t="s">
        <v>106</v>
      </c>
      <c r="H14" s="11">
        <v>500</v>
      </c>
      <c r="I14" s="11" t="s">
        <v>155</v>
      </c>
      <c r="J14" s="19">
        <f t="shared" si="0"/>
        <v>1</v>
      </c>
      <c r="K14" s="20"/>
      <c r="L14" s="19">
        <f t="shared" si="1"/>
        <v>1</v>
      </c>
      <c r="M14" s="16">
        <f>IFERROR(INDEX(ITENS_PEDIDO!$Q:$Q,MATCH($B14,ITENS_PEDIDO!$A:$A,0)),0)</f>
        <v>620</v>
      </c>
      <c r="N14" s="16">
        <f t="shared" si="2"/>
        <v>620</v>
      </c>
      <c r="O14" s="19">
        <f t="shared" si="3"/>
        <v>0.31</v>
      </c>
      <c r="P14" s="16">
        <f>SUMIFS(CUSTOS!$H:$H,CUSTOS!$D:$D,$A14,CUSTOS!$J:$J,"SIM")</f>
        <v>0</v>
      </c>
      <c r="Q14" s="16">
        <f>$O14*SUMIFS(CUSTOS!$H:$H,CUSTOS!$C:$C,$D14,CUSTOS!$B:$B,"CARGA",CUSTOS!$J:$J,"SIM")</f>
        <v>0</v>
      </c>
      <c r="R14" s="16">
        <f>SUMIFS(CUSTOS!$H:$H,CUSTOS!$D:$D,$A14,CUSTOS!$I:$I,"EMPRESA")+$O14*SUMIFS(CUSTOS!$H:$H,CUSTOS!$C:$C,$D14,CUSTOS!$B:$B,"CARGA",CUSTOS!$I:$I,"EMPRESA")</f>
        <v>238.7</v>
      </c>
      <c r="S14" s="16">
        <f t="shared" si="4"/>
        <v>620</v>
      </c>
      <c r="T14" s="15" t="str">
        <f>IFERROR(INDEX(MOTORISTAS!$F:$F,MATCH($I14,MOTORISTAS!$A:$A,0)),"")</f>
        <v>FROTA</v>
      </c>
      <c r="U14" s="15" t="str">
        <f>IFERROR(INDEX(MOTORISTAS!$H:$H,MATCH($I14,MOTORISTAS!$A:$A,0)),"")</f>
        <v>R$/KM</v>
      </c>
      <c r="V14" s="21">
        <f>IFERROR(INDEX(MOTORISTAS!$I:$I,MATCH($I14,MOTORISTAS!$A:$A,0)),0)</f>
        <v>1.1000000000000001</v>
      </c>
      <c r="W14" s="16">
        <f>MAX(0,IF($U14="%_FRETE",$S14*$V14,IF($U14="R$/KM",IFERROR(INDEX(CARGAS!$I:$I,MATCH($D14,CARGAS!$A:$A,0)),0)*$V14*$O14-$P14-$Q14,IF($U14="FIXO_VEICULO",$V14-$P14-$Q14,0))))</f>
        <v>170.5</v>
      </c>
      <c r="X14" s="16">
        <f t="shared" si="5"/>
        <v>210.8</v>
      </c>
      <c r="Y14" s="15" t="str">
        <f t="shared" si="6"/>
        <v>OK</v>
      </c>
    </row>
    <row r="15" spans="1:25" x14ac:dyDescent="0.25">
      <c r="A15" s="11" t="s">
        <v>378</v>
      </c>
      <c r="B15" s="11" t="s">
        <v>282</v>
      </c>
      <c r="C15" s="11">
        <v>1</v>
      </c>
      <c r="D15" s="11" t="s">
        <v>337</v>
      </c>
      <c r="E15" s="18">
        <f>IFERROR(INDEX(CARGAS!$B:$B,MATCH($D15,CARGAS!$A:$A,0)),"")</f>
        <v>46211</v>
      </c>
      <c r="F15" s="11" t="s">
        <v>116</v>
      </c>
      <c r="G15" s="11" t="s">
        <v>106</v>
      </c>
      <c r="H15" s="11">
        <v>500</v>
      </c>
      <c r="I15" s="11" t="s">
        <v>155</v>
      </c>
      <c r="J15" s="19">
        <f t="shared" si="0"/>
        <v>1</v>
      </c>
      <c r="K15" s="20"/>
      <c r="L15" s="19">
        <f t="shared" si="1"/>
        <v>1</v>
      </c>
      <c r="M15" s="16">
        <f>IFERROR(INDEX(ITENS_PEDIDO!$Q:$Q,MATCH($B15,ITENS_PEDIDO!$A:$A,0)),0)</f>
        <v>700</v>
      </c>
      <c r="N15" s="16">
        <f t="shared" si="2"/>
        <v>700</v>
      </c>
      <c r="O15" s="19">
        <f t="shared" si="3"/>
        <v>0.35</v>
      </c>
      <c r="P15" s="16">
        <f>SUMIFS(CUSTOS!$H:$H,CUSTOS!$D:$D,$A15,CUSTOS!$J:$J,"SIM")</f>
        <v>0</v>
      </c>
      <c r="Q15" s="16">
        <f>$O15*SUMIFS(CUSTOS!$H:$H,CUSTOS!$C:$C,$D15,CUSTOS!$B:$B,"CARGA",CUSTOS!$J:$J,"SIM")</f>
        <v>0</v>
      </c>
      <c r="R15" s="16">
        <f>SUMIFS(CUSTOS!$H:$H,CUSTOS!$D:$D,$A15,CUSTOS!$I:$I,"EMPRESA")+$O15*SUMIFS(CUSTOS!$H:$H,CUSTOS!$C:$C,$D15,CUSTOS!$B:$B,"CARGA",CUSTOS!$I:$I,"EMPRESA")</f>
        <v>269.5</v>
      </c>
      <c r="S15" s="16">
        <f t="shared" si="4"/>
        <v>700</v>
      </c>
      <c r="T15" s="15" t="str">
        <f>IFERROR(INDEX(MOTORISTAS!$F:$F,MATCH($I15,MOTORISTAS!$A:$A,0)),"")</f>
        <v>FROTA</v>
      </c>
      <c r="U15" s="15" t="str">
        <f>IFERROR(INDEX(MOTORISTAS!$H:$H,MATCH($I15,MOTORISTAS!$A:$A,0)),"")</f>
        <v>R$/KM</v>
      </c>
      <c r="V15" s="21">
        <f>IFERROR(INDEX(MOTORISTAS!$I:$I,MATCH($I15,MOTORISTAS!$A:$A,0)),0)</f>
        <v>1.1000000000000001</v>
      </c>
      <c r="W15" s="16">
        <f>MAX(0,IF($U15="%_FRETE",$S15*$V15,IF($U15="R$/KM",IFERROR(INDEX(CARGAS!$I:$I,MATCH($D15,CARGAS!$A:$A,0)),0)*$V15*$O15-$P15-$Q15,IF($U15="FIXO_VEICULO",$V15-$P15-$Q15,0))))</f>
        <v>192.5</v>
      </c>
      <c r="X15" s="16">
        <f t="shared" si="5"/>
        <v>238</v>
      </c>
      <c r="Y15" s="15" t="str">
        <f t="shared" si="6"/>
        <v>OK</v>
      </c>
    </row>
    <row r="16" spans="1:25" x14ac:dyDescent="0.25">
      <c r="A16" s="11" t="s">
        <v>379</v>
      </c>
      <c r="B16" s="11" t="s">
        <v>287</v>
      </c>
      <c r="C16" s="11">
        <v>1</v>
      </c>
      <c r="D16" s="11" t="s">
        <v>337</v>
      </c>
      <c r="E16" s="18">
        <f>IFERROR(INDEX(CARGAS!$B:$B,MATCH($D16,CARGAS!$A:$A,0)),"")</f>
        <v>46211</v>
      </c>
      <c r="F16" s="11" t="s">
        <v>116</v>
      </c>
      <c r="G16" s="11" t="s">
        <v>106</v>
      </c>
      <c r="H16" s="11">
        <v>500</v>
      </c>
      <c r="I16" s="11" t="s">
        <v>155</v>
      </c>
      <c r="J16" s="19">
        <f t="shared" si="0"/>
        <v>1</v>
      </c>
      <c r="K16" s="20"/>
      <c r="L16" s="19">
        <f t="shared" si="1"/>
        <v>1</v>
      </c>
      <c r="M16" s="16">
        <f>IFERROR(INDEX(ITENS_PEDIDO!$Q:$Q,MATCH($B16,ITENS_PEDIDO!$A:$A,0)),0)</f>
        <v>680</v>
      </c>
      <c r="N16" s="16">
        <f t="shared" si="2"/>
        <v>680</v>
      </c>
      <c r="O16" s="19">
        <f t="shared" si="3"/>
        <v>0.34</v>
      </c>
      <c r="P16" s="16">
        <f>SUMIFS(CUSTOS!$H:$H,CUSTOS!$D:$D,$A16,CUSTOS!$J:$J,"SIM")</f>
        <v>0</v>
      </c>
      <c r="Q16" s="16">
        <f>$O16*SUMIFS(CUSTOS!$H:$H,CUSTOS!$C:$C,$D16,CUSTOS!$B:$B,"CARGA",CUSTOS!$J:$J,"SIM")</f>
        <v>0</v>
      </c>
      <c r="R16" s="16">
        <f>SUMIFS(CUSTOS!$H:$H,CUSTOS!$D:$D,$A16,CUSTOS!$I:$I,"EMPRESA")+$O16*SUMIFS(CUSTOS!$H:$H,CUSTOS!$C:$C,$D16,CUSTOS!$B:$B,"CARGA",CUSTOS!$I:$I,"EMPRESA")</f>
        <v>261.8</v>
      </c>
      <c r="S16" s="16">
        <f t="shared" si="4"/>
        <v>680</v>
      </c>
      <c r="T16" s="15" t="str">
        <f>IFERROR(INDEX(MOTORISTAS!$F:$F,MATCH($I16,MOTORISTAS!$A:$A,0)),"")</f>
        <v>FROTA</v>
      </c>
      <c r="U16" s="15" t="str">
        <f>IFERROR(INDEX(MOTORISTAS!$H:$H,MATCH($I16,MOTORISTAS!$A:$A,0)),"")</f>
        <v>R$/KM</v>
      </c>
      <c r="V16" s="21">
        <f>IFERROR(INDEX(MOTORISTAS!$I:$I,MATCH($I16,MOTORISTAS!$A:$A,0)),0)</f>
        <v>1.1000000000000001</v>
      </c>
      <c r="W16" s="16">
        <f>MAX(0,IF($U16="%_FRETE",$S16*$V16,IF($U16="R$/KM",IFERROR(INDEX(CARGAS!$I:$I,MATCH($D16,CARGAS!$A:$A,0)),0)*$V16*$O16-$P16-$Q16,IF($U16="FIXO_VEICULO",$V16-$P16-$Q16,0))))</f>
        <v>187</v>
      </c>
      <c r="X16" s="16">
        <f t="shared" si="5"/>
        <v>231.2</v>
      </c>
      <c r="Y16" s="15" t="str">
        <f t="shared" si="6"/>
        <v>OK</v>
      </c>
    </row>
    <row r="17" spans="1:25" x14ac:dyDescent="0.25">
      <c r="A17" s="11" t="s">
        <v>380</v>
      </c>
      <c r="B17" s="11" t="s">
        <v>292</v>
      </c>
      <c r="C17" s="11">
        <v>1</v>
      </c>
      <c r="D17" s="11" t="s">
        <v>340</v>
      </c>
      <c r="E17" s="18">
        <f>IFERROR(INDEX(CARGAS!$B:$B,MATCH($D17,CARGAS!$A:$A,0)),"")</f>
        <v>46212</v>
      </c>
      <c r="F17" s="11" t="s">
        <v>116</v>
      </c>
      <c r="G17" s="11" t="s">
        <v>133</v>
      </c>
      <c r="H17" s="11">
        <v>460</v>
      </c>
      <c r="I17" s="11" t="s">
        <v>160</v>
      </c>
      <c r="J17" s="19">
        <f t="shared" si="0"/>
        <v>1</v>
      </c>
      <c r="K17" s="20"/>
      <c r="L17" s="19">
        <f t="shared" si="1"/>
        <v>1</v>
      </c>
      <c r="M17" s="16">
        <f>IFERROR(INDEX(ITENS_PEDIDO!$Q:$Q,MATCH($B17,ITENS_PEDIDO!$A:$A,0)),0)</f>
        <v>750</v>
      </c>
      <c r="N17" s="16">
        <f t="shared" si="2"/>
        <v>750</v>
      </c>
      <c r="O17" s="19">
        <f t="shared" si="3"/>
        <v>0.4838709677419355</v>
      </c>
      <c r="P17" s="16">
        <f>SUMIFS(CUSTOS!$H:$H,CUSTOS!$D:$D,$A17,CUSTOS!$J:$J,"SIM")</f>
        <v>0</v>
      </c>
      <c r="Q17" s="16">
        <f>$O17*SUMIFS(CUSTOS!$H:$H,CUSTOS!$C:$C,$D17,CUSTOS!$B:$B,"CARGA",CUSTOS!$J:$J,"SIM")</f>
        <v>232.25806451612902</v>
      </c>
      <c r="R17" s="16">
        <f>SUMIFS(CUSTOS!$H:$H,CUSTOS!$D:$D,$A17,CUSTOS!$I:$I,"EMPRESA")+$O17*SUMIFS(CUSTOS!$H:$H,CUSTOS!$C:$C,$D17,CUSTOS!$B:$B,"CARGA",CUSTOS!$I:$I,"EMPRESA")</f>
        <v>382.25806451612902</v>
      </c>
      <c r="S17" s="16">
        <f t="shared" si="4"/>
        <v>517.74193548387098</v>
      </c>
      <c r="T17" s="15" t="str">
        <f>IFERROR(INDEX(MOTORISTAS!$F:$F,MATCH($I17,MOTORISTAS!$A:$A,0)),"")</f>
        <v>AGREGADO</v>
      </c>
      <c r="U17" s="15" t="str">
        <f>IFERROR(INDEX(MOTORISTAS!$H:$H,MATCH($I17,MOTORISTAS!$A:$A,0)),"")</f>
        <v>%_FRETE</v>
      </c>
      <c r="V17" s="21">
        <f>IFERROR(INDEX(MOTORISTAS!$I:$I,MATCH($I17,MOTORISTAS!$A:$A,0)),0)</f>
        <v>0.65</v>
      </c>
      <c r="W17" s="16">
        <f>MAX(0,IF($U17="%_FRETE",$S17*$V17,IF($U17="R$/KM",IFERROR(INDEX(CARGAS!$I:$I,MATCH($D17,CARGAS!$A:$A,0)),0)*$V17*$O17-$P17-$Q17,IF($U17="FIXO_VEICULO",$V17-$P17-$Q17,0))))</f>
        <v>336.53225806451616</v>
      </c>
      <c r="X17" s="16">
        <f t="shared" si="5"/>
        <v>31.209677419354819</v>
      </c>
      <c r="Y17" s="15" t="str">
        <f t="shared" si="6"/>
        <v>OK</v>
      </c>
    </row>
    <row r="18" spans="1:25" x14ac:dyDescent="0.25">
      <c r="A18" s="11" t="s">
        <v>381</v>
      </c>
      <c r="B18" s="11" t="s">
        <v>297</v>
      </c>
      <c r="C18" s="11">
        <v>1</v>
      </c>
      <c r="D18" s="11" t="s">
        <v>340</v>
      </c>
      <c r="E18" s="18">
        <f>IFERROR(INDEX(CARGAS!$B:$B,MATCH($D18,CARGAS!$A:$A,0)),"")</f>
        <v>46212</v>
      </c>
      <c r="F18" s="11" t="s">
        <v>116</v>
      </c>
      <c r="G18" s="11" t="s">
        <v>133</v>
      </c>
      <c r="H18" s="11">
        <v>460</v>
      </c>
      <c r="I18" s="11" t="s">
        <v>160</v>
      </c>
      <c r="J18" s="19">
        <f t="shared" si="0"/>
        <v>1</v>
      </c>
      <c r="K18" s="20"/>
      <c r="L18" s="19">
        <f t="shared" si="1"/>
        <v>1</v>
      </c>
      <c r="M18" s="16">
        <f>IFERROR(INDEX(ITENS_PEDIDO!$Q:$Q,MATCH($B18,ITENS_PEDIDO!$A:$A,0)),0)</f>
        <v>800</v>
      </c>
      <c r="N18" s="16">
        <f t="shared" si="2"/>
        <v>800</v>
      </c>
      <c r="O18" s="19">
        <f t="shared" si="3"/>
        <v>0.5161290322580645</v>
      </c>
      <c r="P18" s="16">
        <f>SUMIFS(CUSTOS!$H:$H,CUSTOS!$D:$D,$A18,CUSTOS!$J:$J,"SIM")</f>
        <v>0</v>
      </c>
      <c r="Q18" s="16">
        <f>$O18*SUMIFS(CUSTOS!$H:$H,CUSTOS!$C:$C,$D18,CUSTOS!$B:$B,"CARGA",CUSTOS!$J:$J,"SIM")</f>
        <v>247.74193548387098</v>
      </c>
      <c r="R18" s="16">
        <f>SUMIFS(CUSTOS!$H:$H,CUSTOS!$D:$D,$A18,CUSTOS!$I:$I,"EMPRESA")+$O18*SUMIFS(CUSTOS!$H:$H,CUSTOS!$C:$C,$D18,CUSTOS!$B:$B,"CARGA",CUSTOS!$I:$I,"EMPRESA")</f>
        <v>247.74193548387098</v>
      </c>
      <c r="S18" s="16">
        <f t="shared" si="4"/>
        <v>552.25806451612902</v>
      </c>
      <c r="T18" s="15" t="str">
        <f>IFERROR(INDEX(MOTORISTAS!$F:$F,MATCH($I18,MOTORISTAS!$A:$A,0)),"")</f>
        <v>AGREGADO</v>
      </c>
      <c r="U18" s="15" t="str">
        <f>IFERROR(INDEX(MOTORISTAS!$H:$H,MATCH($I18,MOTORISTAS!$A:$A,0)),"")</f>
        <v>%_FRETE</v>
      </c>
      <c r="V18" s="21">
        <f>IFERROR(INDEX(MOTORISTAS!$I:$I,MATCH($I18,MOTORISTAS!$A:$A,0)),0)</f>
        <v>0.65</v>
      </c>
      <c r="W18" s="16">
        <f>MAX(0,IF($U18="%_FRETE",$S18*$V18,IF($U18="R$/KM",IFERROR(INDEX(CARGAS!$I:$I,MATCH($D18,CARGAS!$A:$A,0)),0)*$V18*$O18-$P18-$Q18,IF($U18="FIXO_VEICULO",$V18-$P18-$Q18,0))))</f>
        <v>358.9677419354839</v>
      </c>
      <c r="X18" s="16">
        <f t="shared" si="5"/>
        <v>193.29032258064512</v>
      </c>
      <c r="Y18" s="15" t="str">
        <f t="shared" si="6"/>
        <v>OK</v>
      </c>
    </row>
    <row r="19" spans="1:25" x14ac:dyDescent="0.25">
      <c r="A19" s="11" t="s">
        <v>382</v>
      </c>
      <c r="B19" s="11" t="s">
        <v>302</v>
      </c>
      <c r="C19" s="11">
        <v>1</v>
      </c>
      <c r="D19" s="11" t="s">
        <v>342</v>
      </c>
      <c r="E19" s="18">
        <f>IFERROR(INDEX(CARGAS!$B:$B,MATCH($D19,CARGAS!$A:$A,0)),"")</f>
        <v>46216</v>
      </c>
      <c r="F19" s="11" t="s">
        <v>116</v>
      </c>
      <c r="G19" s="11" t="s">
        <v>133</v>
      </c>
      <c r="H19" s="11">
        <v>460</v>
      </c>
      <c r="I19" s="11" t="s">
        <v>170</v>
      </c>
      <c r="J19" s="19">
        <f t="shared" si="0"/>
        <v>1</v>
      </c>
      <c r="K19" s="20"/>
      <c r="L19" s="19">
        <f t="shared" si="1"/>
        <v>1</v>
      </c>
      <c r="M19" s="16">
        <f>IFERROR(INDEX(ITENS_PEDIDO!$Q:$Q,MATCH($B19,ITENS_PEDIDO!$A:$A,0)),0)</f>
        <v>750</v>
      </c>
      <c r="N19" s="16">
        <f t="shared" si="2"/>
        <v>750</v>
      </c>
      <c r="O19" s="19">
        <f t="shared" si="3"/>
        <v>1</v>
      </c>
      <c r="P19" s="16">
        <f>SUMIFS(CUSTOS!$H:$H,CUSTOS!$D:$D,$A19,CUSTOS!$J:$J,"SIM")</f>
        <v>0</v>
      </c>
      <c r="Q19" s="16">
        <f>$O19*SUMIFS(CUSTOS!$H:$H,CUSTOS!$C:$C,$D19,CUSTOS!$B:$B,"CARGA",CUSTOS!$J:$J,"SIM")</f>
        <v>0</v>
      </c>
      <c r="R19" s="16">
        <f>SUMIFS(CUSTOS!$H:$H,CUSTOS!$D:$D,$A19,CUSTOS!$I:$I,"EMPRESA")+$O19*SUMIFS(CUSTOS!$H:$H,CUSTOS!$C:$C,$D19,CUSTOS!$B:$B,"CARGA",CUSTOS!$I:$I,"EMPRESA")</f>
        <v>0</v>
      </c>
      <c r="S19" s="16">
        <f t="shared" si="4"/>
        <v>750</v>
      </c>
      <c r="T19" s="15" t="str">
        <f>IFERROR(INDEX(MOTORISTAS!$F:$F,MATCH($I19,MOTORISTAS!$A:$A,0)),"")</f>
        <v>TERCEIRO</v>
      </c>
      <c r="U19" s="15" t="str">
        <f>IFERROR(INDEX(MOTORISTAS!$H:$H,MATCH($I19,MOTORISTAS!$A:$A,0)),"")</f>
        <v>FIXO_VEICULO</v>
      </c>
      <c r="V19" s="21">
        <f>IFERROR(INDEX(MOTORISTAS!$I:$I,MATCH($I19,MOTORISTAS!$A:$A,0)),0)</f>
        <v>320</v>
      </c>
      <c r="W19" s="16">
        <f>MAX(0,IF($U19="%_FRETE",$S19*$V19,IF($U19="R$/KM",IFERROR(INDEX(CARGAS!$I:$I,MATCH($D19,CARGAS!$A:$A,0)),0)*$V19*$O19-$P19-$Q19,IF($U19="FIXO_VEICULO",$V19-$P19-$Q19,0))))</f>
        <v>320</v>
      </c>
      <c r="X19" s="16">
        <f t="shared" si="5"/>
        <v>430</v>
      </c>
      <c r="Y19" s="15" t="str">
        <f t="shared" si="6"/>
        <v>OK</v>
      </c>
    </row>
    <row r="21" spans="1:25" x14ac:dyDescent="0.25">
      <c r="B21" s="14" t="s">
        <v>383</v>
      </c>
    </row>
    <row r="22" spans="1:25" x14ac:dyDescent="0.25">
      <c r="B22" s="14" t="s">
        <v>384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1" customWidth="1"/>
    <col min="2" max="2" width="10" customWidth="1"/>
    <col min="3" max="4" width="11" customWidth="1"/>
    <col min="5" max="5" width="12" customWidth="1"/>
    <col min="6" max="6" width="15" customWidth="1"/>
    <col min="7" max="7" width="34" customWidth="1"/>
    <col min="8" max="8" width="13" customWidth="1"/>
    <col min="9" max="9" width="12" customWidth="1"/>
    <col min="10" max="10" width="13" customWidth="1"/>
    <col min="11" max="11" width="22" customWidth="1"/>
  </cols>
  <sheetData>
    <row r="1" spans="1:11" ht="31.5" customHeight="1" x14ac:dyDescent="0.25">
      <c r="A1" s="10" t="s">
        <v>385</v>
      </c>
      <c r="B1" s="10" t="s">
        <v>386</v>
      </c>
      <c r="C1" s="10" t="s">
        <v>316</v>
      </c>
      <c r="D1" s="10" t="s">
        <v>345</v>
      </c>
      <c r="E1" s="10" t="s">
        <v>387</v>
      </c>
      <c r="F1" s="10" t="s">
        <v>88</v>
      </c>
      <c r="G1" s="10" t="s">
        <v>388</v>
      </c>
      <c r="H1" s="10" t="s">
        <v>35</v>
      </c>
      <c r="I1" s="10" t="s">
        <v>389</v>
      </c>
      <c r="J1" s="10" t="s">
        <v>390</v>
      </c>
      <c r="K1" s="10" t="s">
        <v>391</v>
      </c>
    </row>
    <row r="2" spans="1:11" x14ac:dyDescent="0.25">
      <c r="A2" s="11" t="s">
        <v>392</v>
      </c>
      <c r="B2" s="11" t="s">
        <v>393</v>
      </c>
      <c r="C2" s="11" t="s">
        <v>331</v>
      </c>
      <c r="D2" s="11"/>
      <c r="E2" s="12">
        <v>46206</v>
      </c>
      <c r="F2" s="11" t="s">
        <v>394</v>
      </c>
      <c r="G2" s="11" t="s">
        <v>395</v>
      </c>
      <c r="H2" s="17">
        <v>240</v>
      </c>
      <c r="I2" s="11" t="s">
        <v>396</v>
      </c>
      <c r="J2" s="11" t="s">
        <v>339</v>
      </c>
      <c r="K2" s="11" t="s">
        <v>397</v>
      </c>
    </row>
    <row r="3" spans="1:11" x14ac:dyDescent="0.25">
      <c r="A3" s="11" t="s">
        <v>398</v>
      </c>
      <c r="B3" s="11" t="s">
        <v>393</v>
      </c>
      <c r="C3" s="11" t="s">
        <v>331</v>
      </c>
      <c r="D3" s="11"/>
      <c r="E3" s="12">
        <v>46206</v>
      </c>
      <c r="F3" s="11" t="s">
        <v>399</v>
      </c>
      <c r="G3" s="11" t="s">
        <v>400</v>
      </c>
      <c r="H3" s="17">
        <v>980</v>
      </c>
      <c r="I3" s="11" t="s">
        <v>396</v>
      </c>
      <c r="J3" s="11" t="s">
        <v>339</v>
      </c>
      <c r="K3" s="11" t="s">
        <v>401</v>
      </c>
    </row>
    <row r="4" spans="1:11" x14ac:dyDescent="0.25">
      <c r="A4" s="11" t="s">
        <v>402</v>
      </c>
      <c r="B4" s="11" t="s">
        <v>393</v>
      </c>
      <c r="C4" s="11" t="s">
        <v>337</v>
      </c>
      <c r="D4" s="11"/>
      <c r="E4" s="12">
        <v>46211</v>
      </c>
      <c r="F4" s="11" t="s">
        <v>394</v>
      </c>
      <c r="G4" s="11" t="s">
        <v>403</v>
      </c>
      <c r="H4" s="17">
        <v>150</v>
      </c>
      <c r="I4" s="11" t="s">
        <v>396</v>
      </c>
      <c r="J4" s="11" t="s">
        <v>339</v>
      </c>
      <c r="K4" s="11" t="s">
        <v>404</v>
      </c>
    </row>
    <row r="5" spans="1:11" x14ac:dyDescent="0.25">
      <c r="A5" s="11" t="s">
        <v>405</v>
      </c>
      <c r="B5" s="11" t="s">
        <v>393</v>
      </c>
      <c r="C5" s="11" t="s">
        <v>337</v>
      </c>
      <c r="D5" s="11"/>
      <c r="E5" s="12">
        <v>46211</v>
      </c>
      <c r="F5" s="11" t="s">
        <v>399</v>
      </c>
      <c r="G5" s="11" t="s">
        <v>406</v>
      </c>
      <c r="H5" s="17">
        <v>620</v>
      </c>
      <c r="I5" s="11" t="s">
        <v>396</v>
      </c>
      <c r="J5" s="11" t="s">
        <v>339</v>
      </c>
      <c r="K5" s="11" t="s">
        <v>407</v>
      </c>
    </row>
    <row r="6" spans="1:11" x14ac:dyDescent="0.25">
      <c r="A6" s="11" t="s">
        <v>408</v>
      </c>
      <c r="B6" s="11" t="s">
        <v>393</v>
      </c>
      <c r="C6" s="11" t="s">
        <v>340</v>
      </c>
      <c r="D6" s="11"/>
      <c r="E6" s="12">
        <v>46212</v>
      </c>
      <c r="F6" s="11" t="s">
        <v>409</v>
      </c>
      <c r="G6" s="11" t="s">
        <v>410</v>
      </c>
      <c r="H6" s="17">
        <v>480</v>
      </c>
      <c r="I6" s="11" t="s">
        <v>396</v>
      </c>
      <c r="J6" s="11" t="s">
        <v>71</v>
      </c>
      <c r="K6" s="11" t="s">
        <v>411</v>
      </c>
    </row>
    <row r="7" spans="1:11" x14ac:dyDescent="0.25">
      <c r="A7" s="11" t="s">
        <v>412</v>
      </c>
      <c r="B7" s="11" t="s">
        <v>413</v>
      </c>
      <c r="C7" s="11" t="s">
        <v>340</v>
      </c>
      <c r="D7" s="11" t="s">
        <v>380</v>
      </c>
      <c r="E7" s="12">
        <v>46212</v>
      </c>
      <c r="F7" s="11" t="s">
        <v>414</v>
      </c>
      <c r="G7" s="11" t="s">
        <v>415</v>
      </c>
      <c r="H7" s="17">
        <v>150</v>
      </c>
      <c r="I7" s="11" t="s">
        <v>396</v>
      </c>
      <c r="J7" s="11" t="s">
        <v>339</v>
      </c>
      <c r="K7" s="11" t="s">
        <v>416</v>
      </c>
    </row>
    <row r="9" spans="1:11" x14ac:dyDescent="0.25">
      <c r="B9" s="14" t="s">
        <v>417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3" customWidth="1"/>
    <col min="2" max="2" width="9" customWidth="1"/>
    <col min="3" max="4" width="10" customWidth="1"/>
    <col min="5" max="5" width="13" customWidth="1"/>
    <col min="6" max="6" width="17" customWidth="1"/>
    <col min="7" max="7" width="19" customWidth="1"/>
    <col min="8" max="8" width="11" customWidth="1"/>
    <col min="9" max="9" width="13" customWidth="1"/>
    <col min="10" max="10" width="34" customWidth="1"/>
    <col min="11" max="11" width="22" customWidth="1"/>
    <col min="12" max="12" width="20" customWidth="1"/>
    <col min="13" max="13" width="12" customWidth="1"/>
  </cols>
  <sheetData>
    <row r="1" spans="1:13" ht="31.5" customHeight="1" x14ac:dyDescent="0.25">
      <c r="A1" s="10" t="s">
        <v>418</v>
      </c>
      <c r="B1" s="10" t="s">
        <v>213</v>
      </c>
      <c r="C1" s="10" t="s">
        <v>345</v>
      </c>
      <c r="D1" s="10" t="s">
        <v>316</v>
      </c>
      <c r="E1" s="10" t="s">
        <v>419</v>
      </c>
      <c r="F1" s="10" t="s">
        <v>420</v>
      </c>
      <c r="G1" s="10" t="s">
        <v>421</v>
      </c>
      <c r="H1" s="10" t="s">
        <v>422</v>
      </c>
      <c r="I1" s="10" t="s">
        <v>399</v>
      </c>
      <c r="J1" s="10" t="s">
        <v>423</v>
      </c>
      <c r="K1" s="10" t="s">
        <v>424</v>
      </c>
      <c r="L1" s="10" t="s">
        <v>425</v>
      </c>
      <c r="M1" s="10" t="s">
        <v>426</v>
      </c>
    </row>
    <row r="2" spans="1:13" x14ac:dyDescent="0.25">
      <c r="A2" s="11" t="s">
        <v>427</v>
      </c>
      <c r="B2" s="11" t="s">
        <v>241</v>
      </c>
      <c r="C2" s="11" t="s">
        <v>365</v>
      </c>
      <c r="D2" s="11" t="s">
        <v>331</v>
      </c>
      <c r="E2" s="11" t="s">
        <v>428</v>
      </c>
      <c r="F2" s="22">
        <v>46206.354166666701</v>
      </c>
      <c r="G2" s="11" t="s">
        <v>150</v>
      </c>
      <c r="H2" s="11">
        <v>48210</v>
      </c>
      <c r="I2" s="11" t="s">
        <v>429</v>
      </c>
      <c r="J2" s="11" t="s">
        <v>430</v>
      </c>
      <c r="K2" s="11" t="s">
        <v>431</v>
      </c>
      <c r="L2" s="11" t="s">
        <v>432</v>
      </c>
      <c r="M2" s="11" t="s">
        <v>433</v>
      </c>
    </row>
    <row r="3" spans="1:13" x14ac:dyDescent="0.25">
      <c r="A3" s="11" t="s">
        <v>434</v>
      </c>
      <c r="B3" s="11" t="s">
        <v>241</v>
      </c>
      <c r="C3" s="11" t="s">
        <v>365</v>
      </c>
      <c r="D3" s="11" t="s">
        <v>331</v>
      </c>
      <c r="E3" s="11" t="s">
        <v>435</v>
      </c>
      <c r="F3" s="22">
        <v>46207.458333333299</v>
      </c>
      <c r="G3" s="11" t="s">
        <v>436</v>
      </c>
      <c r="H3" s="11">
        <v>48215</v>
      </c>
      <c r="I3" s="11" t="s">
        <v>429</v>
      </c>
      <c r="J3" s="11" t="s">
        <v>437</v>
      </c>
      <c r="K3" s="11" t="s">
        <v>438</v>
      </c>
      <c r="L3" s="11" t="s">
        <v>439</v>
      </c>
      <c r="M3" s="11" t="s">
        <v>433</v>
      </c>
    </row>
    <row r="4" spans="1:13" x14ac:dyDescent="0.25">
      <c r="A4" s="11" t="s">
        <v>440</v>
      </c>
      <c r="B4" s="11" t="s">
        <v>241</v>
      </c>
      <c r="C4" s="11" t="s">
        <v>371</v>
      </c>
      <c r="D4" s="11" t="s">
        <v>335</v>
      </c>
      <c r="E4" s="11" t="s">
        <v>441</v>
      </c>
      <c r="F4" s="22">
        <v>46209.631944444503</v>
      </c>
      <c r="G4" s="11" t="s">
        <v>439</v>
      </c>
      <c r="H4" s="11">
        <v>48219</v>
      </c>
      <c r="I4" s="11" t="s">
        <v>429</v>
      </c>
      <c r="J4" s="11" t="s">
        <v>442</v>
      </c>
      <c r="K4" s="11" t="s">
        <v>443</v>
      </c>
      <c r="L4" s="11" t="s">
        <v>75</v>
      </c>
      <c r="M4" s="11" t="s">
        <v>433</v>
      </c>
    </row>
    <row r="5" spans="1:13" x14ac:dyDescent="0.25">
      <c r="A5" s="11" t="s">
        <v>444</v>
      </c>
      <c r="B5" s="11" t="s">
        <v>292</v>
      </c>
      <c r="C5" s="11" t="s">
        <v>380</v>
      </c>
      <c r="D5" s="11" t="s">
        <v>340</v>
      </c>
      <c r="E5" s="11" t="s">
        <v>428</v>
      </c>
      <c r="F5" s="22">
        <v>46212.375</v>
      </c>
      <c r="G5" s="11" t="s">
        <v>161</v>
      </c>
      <c r="H5" s="11">
        <v>31450</v>
      </c>
      <c r="I5" s="11" t="s">
        <v>445</v>
      </c>
      <c r="J5" s="11" t="s">
        <v>446</v>
      </c>
      <c r="K5" s="11" t="s">
        <v>447</v>
      </c>
      <c r="L5" s="11" t="s">
        <v>75</v>
      </c>
      <c r="M5" s="11" t="s">
        <v>433</v>
      </c>
    </row>
    <row r="7" spans="1:13" x14ac:dyDescent="0.25">
      <c r="B7" s="14" t="s">
        <v>448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4" customWidth="1"/>
    <col min="2" max="2" width="12" customWidth="1"/>
    <col min="3" max="3" width="9" customWidth="1"/>
    <col min="4" max="6" width="10" customWidth="1"/>
    <col min="7" max="7" width="13" customWidth="1"/>
    <col min="8" max="8" width="16" customWidth="1"/>
    <col min="9" max="9" width="38" customWidth="1"/>
    <col min="10" max="10" width="17" customWidth="1"/>
    <col min="11" max="11" width="13" customWidth="1"/>
    <col min="12" max="12" width="17" customWidth="1"/>
    <col min="13" max="13" width="13" customWidth="1"/>
    <col min="14" max="14" width="32" customWidth="1"/>
  </cols>
  <sheetData>
    <row r="1" spans="1:14" ht="31.5" customHeight="1" x14ac:dyDescent="0.25">
      <c r="A1" s="10" t="s">
        <v>449</v>
      </c>
      <c r="B1" s="10" t="s">
        <v>387</v>
      </c>
      <c r="C1" s="10" t="s">
        <v>213</v>
      </c>
      <c r="D1" s="10" t="s">
        <v>345</v>
      </c>
      <c r="E1" s="10" t="s">
        <v>316</v>
      </c>
      <c r="F1" s="10" t="s">
        <v>55</v>
      </c>
      <c r="G1" s="10" t="s">
        <v>351</v>
      </c>
      <c r="H1" s="10" t="s">
        <v>88</v>
      </c>
      <c r="I1" s="10" t="s">
        <v>388</v>
      </c>
      <c r="J1" s="10" t="s">
        <v>450</v>
      </c>
      <c r="K1" s="10" t="s">
        <v>451</v>
      </c>
      <c r="L1" s="10" t="s">
        <v>452</v>
      </c>
      <c r="M1" s="10" t="s">
        <v>426</v>
      </c>
      <c r="N1" s="10" t="s">
        <v>453</v>
      </c>
    </row>
    <row r="2" spans="1:14" x14ac:dyDescent="0.25">
      <c r="A2" s="11" t="s">
        <v>454</v>
      </c>
      <c r="B2" s="12">
        <v>46209</v>
      </c>
      <c r="C2" s="11" t="s">
        <v>241</v>
      </c>
      <c r="D2" s="11" t="s">
        <v>371</v>
      </c>
      <c r="E2" s="11" t="s">
        <v>335</v>
      </c>
      <c r="F2" s="11" t="s">
        <v>64</v>
      </c>
      <c r="G2" s="11" t="s">
        <v>165</v>
      </c>
      <c r="H2" s="11" t="s">
        <v>455</v>
      </c>
      <c r="I2" s="11" t="s">
        <v>456</v>
      </c>
      <c r="J2" s="11" t="s">
        <v>457</v>
      </c>
      <c r="K2" s="17">
        <v>850</v>
      </c>
      <c r="L2" s="11" t="s">
        <v>458</v>
      </c>
      <c r="M2" s="11" t="s">
        <v>459</v>
      </c>
      <c r="N2" s="11" t="s">
        <v>460</v>
      </c>
    </row>
    <row r="3" spans="1:14" x14ac:dyDescent="0.25">
      <c r="A3" s="11" t="s">
        <v>461</v>
      </c>
      <c r="B3" s="12">
        <v>46212</v>
      </c>
      <c r="C3" s="11" t="s">
        <v>292</v>
      </c>
      <c r="D3" s="11" t="s">
        <v>380</v>
      </c>
      <c r="E3" s="11" t="s">
        <v>340</v>
      </c>
      <c r="F3" s="11" t="s">
        <v>72</v>
      </c>
      <c r="G3" s="11" t="s">
        <v>160</v>
      </c>
      <c r="H3" s="11" t="s">
        <v>414</v>
      </c>
      <c r="I3" s="11" t="s">
        <v>462</v>
      </c>
      <c r="J3" s="11" t="s">
        <v>161</v>
      </c>
      <c r="K3" s="17">
        <v>150</v>
      </c>
      <c r="L3" s="11" t="s">
        <v>463</v>
      </c>
      <c r="M3" s="11" t="s">
        <v>464</v>
      </c>
      <c r="N3" s="11" t="s">
        <v>465</v>
      </c>
    </row>
    <row r="5" spans="1:14" x14ac:dyDescent="0.25">
      <c r="B5" s="14" t="s">
        <v>466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20" customWidth="1"/>
    <col min="3" max="3" width="16" customWidth="1"/>
    <col min="4" max="4" width="14" customWidth="1"/>
    <col min="5" max="7" width="20" customWidth="1"/>
    <col min="8" max="8" width="30" customWidth="1"/>
  </cols>
  <sheetData>
    <row r="1" spans="1:8" ht="31.5" customHeight="1" x14ac:dyDescent="0.25">
      <c r="A1" s="10" t="s">
        <v>420</v>
      </c>
      <c r="B1" s="10" t="s">
        <v>467</v>
      </c>
      <c r="C1" s="10" t="s">
        <v>468</v>
      </c>
      <c r="D1" s="10" t="s">
        <v>469</v>
      </c>
      <c r="E1" s="10" t="s">
        <v>470</v>
      </c>
      <c r="F1" s="10" t="s">
        <v>471</v>
      </c>
      <c r="G1" s="10" t="s">
        <v>472</v>
      </c>
      <c r="H1" s="10" t="s">
        <v>473</v>
      </c>
    </row>
    <row r="2" spans="1:8" x14ac:dyDescent="0.25">
      <c r="A2" s="22">
        <v>46205.425000000003</v>
      </c>
      <c r="B2" s="11" t="s">
        <v>204</v>
      </c>
      <c r="C2" s="11" t="s">
        <v>474</v>
      </c>
      <c r="D2" s="11" t="s">
        <v>241</v>
      </c>
      <c r="E2" s="11" t="s">
        <v>227</v>
      </c>
      <c r="F2" s="11">
        <v>1300</v>
      </c>
      <c r="G2" s="11">
        <v>1400</v>
      </c>
      <c r="H2" s="11" t="s">
        <v>475</v>
      </c>
    </row>
    <row r="3" spans="1:8" x14ac:dyDescent="0.25">
      <c r="A3" s="22">
        <v>46205.611111111102</v>
      </c>
      <c r="B3" s="11" t="s">
        <v>333</v>
      </c>
      <c r="C3" s="11" t="s">
        <v>476</v>
      </c>
      <c r="D3" s="11" t="s">
        <v>331</v>
      </c>
      <c r="E3" s="11" t="s">
        <v>140</v>
      </c>
      <c r="F3" s="11" t="s">
        <v>155</v>
      </c>
      <c r="G3" s="11" t="s">
        <v>149</v>
      </c>
      <c r="H3" s="11" t="s">
        <v>477</v>
      </c>
    </row>
    <row r="4" spans="1:8" x14ac:dyDescent="0.25">
      <c r="A4" s="22">
        <v>46207.336805555598</v>
      </c>
      <c r="B4" s="11" t="s">
        <v>333</v>
      </c>
      <c r="C4" s="11" t="s">
        <v>478</v>
      </c>
      <c r="D4" s="11" t="s">
        <v>371</v>
      </c>
      <c r="E4" s="11" t="s">
        <v>351</v>
      </c>
      <c r="F4" s="11" t="s">
        <v>149</v>
      </c>
      <c r="G4" s="11" t="s">
        <v>165</v>
      </c>
      <c r="H4" s="11" t="s">
        <v>479</v>
      </c>
    </row>
    <row r="6" spans="1:8" x14ac:dyDescent="0.25">
      <c r="B6" s="14" t="s">
        <v>480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2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24" customWidth="1"/>
    <col min="3" max="3" width="12" customWidth="1"/>
    <col min="4" max="4" width="14" customWidth="1"/>
    <col min="5" max="5" width="11" customWidth="1"/>
    <col min="6" max="6" width="13" customWidth="1"/>
    <col min="7" max="7" width="12" customWidth="1"/>
    <col min="8" max="9" width="17" customWidth="1"/>
    <col min="10" max="11" width="15" customWidth="1"/>
    <col min="12" max="12" width="19" customWidth="1"/>
    <col min="13" max="13" width="18" customWidth="1"/>
    <col min="14" max="14" width="15" customWidth="1"/>
  </cols>
  <sheetData>
    <row r="1" spans="1:14" ht="15.75" x14ac:dyDescent="0.25">
      <c r="A1" s="1" t="s">
        <v>481</v>
      </c>
    </row>
    <row r="2" spans="1:14" x14ac:dyDescent="0.25">
      <c r="A2" s="3" t="s">
        <v>482</v>
      </c>
      <c r="C2" s="23">
        <f>PARAMETROS!B3</f>
        <v>46204</v>
      </c>
      <c r="D2" s="23">
        <f>PARAMETROS!B4</f>
        <v>46234</v>
      </c>
    </row>
    <row r="4" spans="1:14" ht="31.5" customHeight="1" x14ac:dyDescent="0.25">
      <c r="A4" s="10" t="s">
        <v>351</v>
      </c>
      <c r="B4" s="10" t="s">
        <v>87</v>
      </c>
      <c r="C4" s="10" t="s">
        <v>144</v>
      </c>
      <c r="D4" s="10" t="s">
        <v>362</v>
      </c>
      <c r="E4" s="10" t="s">
        <v>147</v>
      </c>
      <c r="F4" s="10" t="s">
        <v>483</v>
      </c>
      <c r="G4" s="10" t="s">
        <v>484</v>
      </c>
      <c r="H4" s="10" t="s">
        <v>324</v>
      </c>
      <c r="I4" s="10" t="s">
        <v>485</v>
      </c>
      <c r="J4" s="10" t="s">
        <v>361</v>
      </c>
      <c r="K4" s="10" t="s">
        <v>486</v>
      </c>
      <c r="L4" s="10" t="s">
        <v>487</v>
      </c>
      <c r="M4" s="10" t="s">
        <v>488</v>
      </c>
      <c r="N4" s="10" t="s">
        <v>489</v>
      </c>
    </row>
    <row r="5" spans="1:14" x14ac:dyDescent="0.25">
      <c r="A5" s="11" t="s">
        <v>149</v>
      </c>
      <c r="B5" s="15" t="str">
        <f>IFERROR(INDEX(MOTORISTAS!$B:$B,MATCH($A5,MOTORISTAS!$A:$A,0)),"")</f>
        <v>João Pereira</v>
      </c>
      <c r="C5" s="15" t="str">
        <f>IFERROR(INDEX(MOTORISTAS!$F:$F,MATCH($A5,MOTORISTAS!$A:$A,0)),"")</f>
        <v>FROTA</v>
      </c>
      <c r="D5" s="15" t="str">
        <f>IFERROR(INDEX(MOTORISTAS!$H:$H,MATCH($A5,MOTORISTAS!$A:$A,0)),"")</f>
        <v>%_FRETE</v>
      </c>
      <c r="E5" s="21">
        <f>IFERROR(INDEX(MOTORISTAS!$I:$I,MATCH($A5,MOTORISTAS!$A:$A,0)),0)</f>
        <v>0.12</v>
      </c>
      <c r="F5" s="15">
        <f>COUNTIFS(TRECHOS!$I:$I,$A5,TRECHOS!$E:$E,"&gt;="&amp;PARAMETROS!$B$3,TRECHOS!$E:$E,"&lt;="&amp;PARAMETROS!$B$4)</f>
        <v>6</v>
      </c>
      <c r="G5" s="15">
        <f>SUMIFS(TRECHOS!$H:$H,TRECHOS!$I:$I,$A5,TRECHOS!$E:$E,"&gt;="&amp;PARAMETROS!$B$3,TRECHOS!$E:$E,"&lt;="&amp;PARAMETROS!$B$4)</f>
        <v>2400</v>
      </c>
      <c r="H5" s="16">
        <f>SUMIFS(TRECHOS!$N:$N,TRECHOS!$I:$I,$A5,TRECHOS!$E:$E,"&gt;="&amp;PARAMETROS!$B$3,TRECHOS!$E:$E,"&lt;="&amp;PARAMETROS!$B$4)</f>
        <v>3905.8823529411766</v>
      </c>
      <c r="I5" s="16">
        <f>SUMIFS(TRECHOS!$P:$P,TRECHOS!$I:$I,$A5,TRECHOS!$E:$E,"&gt;="&amp;PARAMETROS!$B$3,TRECHOS!$E:$E,"&lt;="&amp;PARAMETROS!$B$4)+SUMIFS(TRECHOS!$Q:$Q,TRECHOS!$I:$I,$A5,TRECHOS!$E:$E,"&gt;="&amp;PARAMETROS!$B$3,TRECHOS!$E:$E,"&lt;="&amp;PARAMETROS!$B$4)</f>
        <v>0</v>
      </c>
      <c r="J5" s="16">
        <f>SUMIFS(TRECHOS!$S:$S,TRECHOS!$I:$I,$A5,TRECHOS!$E:$E,"&gt;="&amp;PARAMETROS!$B$3,TRECHOS!$E:$E,"&lt;="&amp;PARAMETROS!$B$4)</f>
        <v>3905.8823529411766</v>
      </c>
      <c r="K5" s="16">
        <f>SUMIFS(TRECHOS!$W:$W,TRECHOS!$I:$I,$A5,TRECHOS!$E:$E,"&gt;="&amp;PARAMETROS!$B$3,TRECHOS!$E:$E,"&lt;="&amp;PARAMETROS!$B$4)</f>
        <v>468.70588235294122</v>
      </c>
      <c r="L5" s="16">
        <f>SUMIFS(OCORRENCIAS!$K:$K,OCORRENCIAS!$G:$G,$A5,OCORRENCIAS!$L:$L,"EXECUTANTE",OCORRENCIAS!$M:$M,"APROVADA",OCORRENCIAS!$B:$B,"&gt;="&amp;PARAMETROS!$B$3,OCORRENCIAS!$B:$B,"&lt;="&amp;PARAMETROS!$B$4)</f>
        <v>0</v>
      </c>
      <c r="M5" s="16">
        <f>MAX(0,$K5-$L5)</f>
        <v>468.70588235294122</v>
      </c>
      <c r="N5" s="19">
        <f>IFERROR($M5/$H5,0)</f>
        <v>0.12000000000000001</v>
      </c>
    </row>
    <row r="6" spans="1:14" x14ac:dyDescent="0.25">
      <c r="A6" s="11" t="s">
        <v>155</v>
      </c>
      <c r="B6" s="15" t="str">
        <f>IFERROR(INDEX(MOTORISTAS!$B:$B,MATCH($A6,MOTORISTAS!$A:$A,0)),"")</f>
        <v>Carlos Amaral</v>
      </c>
      <c r="C6" s="15" t="str">
        <f>IFERROR(INDEX(MOTORISTAS!$F:$F,MATCH($A6,MOTORISTAS!$A:$A,0)),"")</f>
        <v>FROTA</v>
      </c>
      <c r="D6" s="15" t="str">
        <f>IFERROR(INDEX(MOTORISTAS!$H:$H,MATCH($A6,MOTORISTAS!$A:$A,0)),"")</f>
        <v>R$/KM</v>
      </c>
      <c r="E6" s="21">
        <f>IFERROR(INDEX(MOTORISTAS!$I:$I,MATCH($A6,MOTORISTAS!$A:$A,0)),0)</f>
        <v>1.1000000000000001</v>
      </c>
      <c r="F6" s="15">
        <f>COUNTIFS(TRECHOS!$I:$I,$A6,TRECHOS!$E:$E,"&gt;="&amp;PARAMETROS!$B$3,TRECHOS!$E:$E,"&lt;="&amp;PARAMETROS!$B$4)</f>
        <v>3</v>
      </c>
      <c r="G6" s="15">
        <f>SUMIFS(TRECHOS!$H:$H,TRECHOS!$I:$I,$A6,TRECHOS!$E:$E,"&gt;="&amp;PARAMETROS!$B$3,TRECHOS!$E:$E,"&lt;="&amp;PARAMETROS!$B$4)</f>
        <v>1500</v>
      </c>
      <c r="H6" s="16">
        <f>SUMIFS(TRECHOS!$N:$N,TRECHOS!$I:$I,$A6,TRECHOS!$E:$E,"&gt;="&amp;PARAMETROS!$B$3,TRECHOS!$E:$E,"&lt;="&amp;PARAMETROS!$B$4)</f>
        <v>2000</v>
      </c>
      <c r="I6" s="16">
        <f>SUMIFS(TRECHOS!$P:$P,TRECHOS!$I:$I,$A6,TRECHOS!$E:$E,"&gt;="&amp;PARAMETROS!$B$3,TRECHOS!$E:$E,"&lt;="&amp;PARAMETROS!$B$4)+SUMIFS(TRECHOS!$Q:$Q,TRECHOS!$I:$I,$A6,TRECHOS!$E:$E,"&gt;="&amp;PARAMETROS!$B$3,TRECHOS!$E:$E,"&lt;="&amp;PARAMETROS!$B$4)</f>
        <v>0</v>
      </c>
      <c r="J6" s="16">
        <f>SUMIFS(TRECHOS!$S:$S,TRECHOS!$I:$I,$A6,TRECHOS!$E:$E,"&gt;="&amp;PARAMETROS!$B$3,TRECHOS!$E:$E,"&lt;="&amp;PARAMETROS!$B$4)</f>
        <v>2000</v>
      </c>
      <c r="K6" s="16">
        <f>SUMIFS(TRECHOS!$W:$W,TRECHOS!$I:$I,$A6,TRECHOS!$E:$E,"&gt;="&amp;PARAMETROS!$B$3,TRECHOS!$E:$E,"&lt;="&amp;PARAMETROS!$B$4)</f>
        <v>550</v>
      </c>
      <c r="L6" s="16">
        <f>SUMIFS(OCORRENCIAS!$K:$K,OCORRENCIAS!$G:$G,$A6,OCORRENCIAS!$L:$L,"EXECUTANTE",OCORRENCIAS!$M:$M,"APROVADA",OCORRENCIAS!$B:$B,"&gt;="&amp;PARAMETROS!$B$3,OCORRENCIAS!$B:$B,"&lt;="&amp;PARAMETROS!$B$4)</f>
        <v>0</v>
      </c>
      <c r="M6" s="16">
        <f>MAX(0,$K6-$L6)</f>
        <v>550</v>
      </c>
      <c r="N6" s="19">
        <f>IFERROR($M6/$H6,0)</f>
        <v>0.27500000000000002</v>
      </c>
    </row>
    <row r="7" spans="1:14" x14ac:dyDescent="0.25">
      <c r="A7" s="11" t="s">
        <v>160</v>
      </c>
      <c r="B7" s="15" t="str">
        <f>IFERROR(INDEX(MOTORISTAS!$B:$B,MATCH($A7,MOTORISTAS!$A:$A,0)),"")</f>
        <v>Anderson Rocha</v>
      </c>
      <c r="C7" s="15" t="str">
        <f>IFERROR(INDEX(MOTORISTAS!$F:$F,MATCH($A7,MOTORISTAS!$A:$A,0)),"")</f>
        <v>AGREGADO</v>
      </c>
      <c r="D7" s="15" t="str">
        <f>IFERROR(INDEX(MOTORISTAS!$H:$H,MATCH($A7,MOTORISTAS!$A:$A,0)),"")</f>
        <v>%_FRETE</v>
      </c>
      <c r="E7" s="21">
        <f>IFERROR(INDEX(MOTORISTAS!$I:$I,MATCH($A7,MOTORISTAS!$A:$A,0)),0)</f>
        <v>0.65</v>
      </c>
      <c r="F7" s="15">
        <f>COUNTIFS(TRECHOS!$I:$I,$A7,TRECHOS!$E:$E,"&gt;="&amp;PARAMETROS!$B$3,TRECHOS!$E:$E,"&lt;="&amp;PARAMETROS!$B$4)</f>
        <v>2</v>
      </c>
      <c r="G7" s="15">
        <f>SUMIFS(TRECHOS!$H:$H,TRECHOS!$I:$I,$A7,TRECHOS!$E:$E,"&gt;="&amp;PARAMETROS!$B$3,TRECHOS!$E:$E,"&lt;="&amp;PARAMETROS!$B$4)</f>
        <v>920</v>
      </c>
      <c r="H7" s="16">
        <f>SUMIFS(TRECHOS!$N:$N,TRECHOS!$I:$I,$A7,TRECHOS!$E:$E,"&gt;="&amp;PARAMETROS!$B$3,TRECHOS!$E:$E,"&lt;="&amp;PARAMETROS!$B$4)</f>
        <v>1550</v>
      </c>
      <c r="I7" s="16">
        <f>SUMIFS(TRECHOS!$P:$P,TRECHOS!$I:$I,$A7,TRECHOS!$E:$E,"&gt;="&amp;PARAMETROS!$B$3,TRECHOS!$E:$E,"&lt;="&amp;PARAMETROS!$B$4)+SUMIFS(TRECHOS!$Q:$Q,TRECHOS!$I:$I,$A7,TRECHOS!$E:$E,"&gt;="&amp;PARAMETROS!$B$3,TRECHOS!$E:$E,"&lt;="&amp;PARAMETROS!$B$4)</f>
        <v>480</v>
      </c>
      <c r="J7" s="16">
        <f>SUMIFS(TRECHOS!$S:$S,TRECHOS!$I:$I,$A7,TRECHOS!$E:$E,"&gt;="&amp;PARAMETROS!$B$3,TRECHOS!$E:$E,"&lt;="&amp;PARAMETROS!$B$4)</f>
        <v>1070</v>
      </c>
      <c r="K7" s="16">
        <f>SUMIFS(TRECHOS!$W:$W,TRECHOS!$I:$I,$A7,TRECHOS!$E:$E,"&gt;="&amp;PARAMETROS!$B$3,TRECHOS!$E:$E,"&lt;="&amp;PARAMETROS!$B$4)</f>
        <v>695.5</v>
      </c>
      <c r="L7" s="16">
        <f>SUMIFS(OCORRENCIAS!$K:$K,OCORRENCIAS!$G:$G,$A7,OCORRENCIAS!$L:$L,"EXECUTANTE",OCORRENCIAS!$M:$M,"APROVADA",OCORRENCIAS!$B:$B,"&gt;="&amp;PARAMETROS!$B$3,OCORRENCIAS!$B:$B,"&lt;="&amp;PARAMETROS!$B$4)</f>
        <v>0</v>
      </c>
      <c r="M7" s="16">
        <f>MAX(0,$K7-$L7)</f>
        <v>695.5</v>
      </c>
      <c r="N7" s="19">
        <f>IFERROR($M7/$H7,0)</f>
        <v>0.44870967741935486</v>
      </c>
    </row>
    <row r="8" spans="1:14" x14ac:dyDescent="0.25">
      <c r="A8" s="11" t="s">
        <v>165</v>
      </c>
      <c r="B8" s="15" t="str">
        <f>IFERROR(INDEX(MOTORISTAS!$B:$B,MATCH($A8,MOTORISTAS!$A:$A,0)),"")</f>
        <v>Cegonha Sul Transportes</v>
      </c>
      <c r="C8" s="15" t="str">
        <f>IFERROR(INDEX(MOTORISTAS!$F:$F,MATCH($A8,MOTORISTAS!$A:$A,0)),"")</f>
        <v>TERCEIRO</v>
      </c>
      <c r="D8" s="15" t="str">
        <f>IFERROR(INDEX(MOTORISTAS!$H:$H,MATCH($A8,MOTORISTAS!$A:$A,0)),"")</f>
        <v>%_FRETE</v>
      </c>
      <c r="E8" s="21">
        <f>IFERROR(INDEX(MOTORISTAS!$I:$I,MATCH($A8,MOTORISTAS!$A:$A,0)),0)</f>
        <v>0.7</v>
      </c>
      <c r="F8" s="15">
        <f>COUNTIFS(TRECHOS!$I:$I,$A8,TRECHOS!$E:$E,"&gt;="&amp;PARAMETROS!$B$3,TRECHOS!$E:$E,"&lt;="&amp;PARAMETROS!$B$4)</f>
        <v>6</v>
      </c>
      <c r="G8" s="15">
        <f>SUMIFS(TRECHOS!$H:$H,TRECHOS!$I:$I,$A8,TRECHOS!$E:$E,"&gt;="&amp;PARAMETROS!$B$3,TRECHOS!$E:$E,"&lt;="&amp;PARAMETROS!$B$4)</f>
        <v>2310</v>
      </c>
      <c r="H8" s="16">
        <f>SUMIFS(TRECHOS!$N:$N,TRECHOS!$I:$I,$A8,TRECHOS!$E:$E,"&gt;="&amp;PARAMETROS!$B$3,TRECHOS!$E:$E,"&lt;="&amp;PARAMETROS!$B$4)</f>
        <v>3744.1176470588234</v>
      </c>
      <c r="I8" s="16">
        <f>SUMIFS(TRECHOS!$P:$P,TRECHOS!$I:$I,$A8,TRECHOS!$E:$E,"&gt;="&amp;PARAMETROS!$B$3,TRECHOS!$E:$E,"&lt;="&amp;PARAMETROS!$B$4)+SUMIFS(TRECHOS!$Q:$Q,TRECHOS!$I:$I,$A8,TRECHOS!$E:$E,"&gt;="&amp;PARAMETROS!$B$3,TRECHOS!$E:$E,"&lt;="&amp;PARAMETROS!$B$4)</f>
        <v>0</v>
      </c>
      <c r="J8" s="16">
        <f>SUMIFS(TRECHOS!$S:$S,TRECHOS!$I:$I,$A8,TRECHOS!$E:$E,"&gt;="&amp;PARAMETROS!$B$3,TRECHOS!$E:$E,"&lt;="&amp;PARAMETROS!$B$4)</f>
        <v>3744.1176470588234</v>
      </c>
      <c r="K8" s="16">
        <f>SUMIFS(TRECHOS!$W:$W,TRECHOS!$I:$I,$A8,TRECHOS!$E:$E,"&gt;="&amp;PARAMETROS!$B$3,TRECHOS!$E:$E,"&lt;="&amp;PARAMETROS!$B$4)</f>
        <v>2620.8823529411761</v>
      </c>
      <c r="L8" s="16">
        <f>SUMIFS(OCORRENCIAS!$K:$K,OCORRENCIAS!$G:$G,$A8,OCORRENCIAS!$L:$L,"EXECUTANTE",OCORRENCIAS!$M:$M,"APROVADA",OCORRENCIAS!$B:$B,"&gt;="&amp;PARAMETROS!$B$3,OCORRENCIAS!$B:$B,"&lt;="&amp;PARAMETROS!$B$4)</f>
        <v>850</v>
      </c>
      <c r="M8" s="16">
        <f>MAX(0,$K8-$L8)</f>
        <v>1770.8823529411761</v>
      </c>
      <c r="N8" s="19">
        <f>IFERROR($M8/$H8,0)</f>
        <v>0.47297721916732122</v>
      </c>
    </row>
    <row r="9" spans="1:14" x14ac:dyDescent="0.25">
      <c r="A9" s="11" t="s">
        <v>170</v>
      </c>
      <c r="B9" s="15" t="str">
        <f>IFERROR(INDEX(MOTORISTAS!$B:$B,MATCH($A9,MOTORISTAS!$A:$A,0)),"")</f>
        <v>Rodo Leste Cegonhas</v>
      </c>
      <c r="C9" s="15" t="str">
        <f>IFERROR(INDEX(MOTORISTAS!$F:$F,MATCH($A9,MOTORISTAS!$A:$A,0)),"")</f>
        <v>TERCEIRO</v>
      </c>
      <c r="D9" s="15" t="str">
        <f>IFERROR(INDEX(MOTORISTAS!$H:$H,MATCH($A9,MOTORISTAS!$A:$A,0)),"")</f>
        <v>FIXO_VEICULO</v>
      </c>
      <c r="E9" s="21">
        <f>IFERROR(INDEX(MOTORISTAS!$I:$I,MATCH($A9,MOTORISTAS!$A:$A,0)),0)</f>
        <v>320</v>
      </c>
      <c r="F9" s="15">
        <f>COUNTIFS(TRECHOS!$I:$I,$A9,TRECHOS!$E:$E,"&gt;="&amp;PARAMETROS!$B$3,TRECHOS!$E:$E,"&lt;="&amp;PARAMETROS!$B$4)</f>
        <v>1</v>
      </c>
      <c r="G9" s="15">
        <f>SUMIFS(TRECHOS!$H:$H,TRECHOS!$I:$I,$A9,TRECHOS!$E:$E,"&gt;="&amp;PARAMETROS!$B$3,TRECHOS!$E:$E,"&lt;="&amp;PARAMETROS!$B$4)</f>
        <v>460</v>
      </c>
      <c r="H9" s="16">
        <f>SUMIFS(TRECHOS!$N:$N,TRECHOS!$I:$I,$A9,TRECHOS!$E:$E,"&gt;="&amp;PARAMETROS!$B$3,TRECHOS!$E:$E,"&lt;="&amp;PARAMETROS!$B$4)</f>
        <v>750</v>
      </c>
      <c r="I9" s="16">
        <f>SUMIFS(TRECHOS!$P:$P,TRECHOS!$I:$I,$A9,TRECHOS!$E:$E,"&gt;="&amp;PARAMETROS!$B$3,TRECHOS!$E:$E,"&lt;="&amp;PARAMETROS!$B$4)+SUMIFS(TRECHOS!$Q:$Q,TRECHOS!$I:$I,$A9,TRECHOS!$E:$E,"&gt;="&amp;PARAMETROS!$B$3,TRECHOS!$E:$E,"&lt;="&amp;PARAMETROS!$B$4)</f>
        <v>0</v>
      </c>
      <c r="J9" s="16">
        <f>SUMIFS(TRECHOS!$S:$S,TRECHOS!$I:$I,$A9,TRECHOS!$E:$E,"&gt;="&amp;PARAMETROS!$B$3,TRECHOS!$E:$E,"&lt;="&amp;PARAMETROS!$B$4)</f>
        <v>750</v>
      </c>
      <c r="K9" s="16">
        <f>SUMIFS(TRECHOS!$W:$W,TRECHOS!$I:$I,$A9,TRECHOS!$E:$E,"&gt;="&amp;PARAMETROS!$B$3,TRECHOS!$E:$E,"&lt;="&amp;PARAMETROS!$B$4)</f>
        <v>320</v>
      </c>
      <c r="L9" s="16">
        <f>SUMIFS(OCORRENCIAS!$K:$K,OCORRENCIAS!$G:$G,$A9,OCORRENCIAS!$L:$L,"EXECUTANTE",OCORRENCIAS!$M:$M,"APROVADA",OCORRENCIAS!$B:$B,"&gt;="&amp;PARAMETROS!$B$3,OCORRENCIAS!$B:$B,"&lt;="&amp;PARAMETROS!$B$4)</f>
        <v>0</v>
      </c>
      <c r="M9" s="16">
        <f>MAX(0,$K9-$L9)</f>
        <v>320</v>
      </c>
      <c r="N9" s="19">
        <f>IFERROR($M9/$H9,0)</f>
        <v>0.42666666666666669</v>
      </c>
    </row>
    <row r="10" spans="1:14" x14ac:dyDescent="0.25">
      <c r="B10" s="3" t="s">
        <v>490</v>
      </c>
      <c r="F10" s="24">
        <f t="shared" ref="F10:M10" si="0">SUM(F5:F9)</f>
        <v>18</v>
      </c>
      <c r="G10" s="24">
        <f t="shared" si="0"/>
        <v>7590</v>
      </c>
      <c r="H10" s="25">
        <f t="shared" si="0"/>
        <v>11950</v>
      </c>
      <c r="I10" s="25">
        <f t="shared" si="0"/>
        <v>480</v>
      </c>
      <c r="J10" s="25">
        <f t="shared" si="0"/>
        <v>11470</v>
      </c>
      <c r="K10" s="25">
        <f t="shared" si="0"/>
        <v>4655.0882352941171</v>
      </c>
      <c r="L10" s="25">
        <f t="shared" si="0"/>
        <v>850</v>
      </c>
      <c r="M10" s="25">
        <f t="shared" si="0"/>
        <v>3805.0882352941171</v>
      </c>
    </row>
    <row r="12" spans="1:14" x14ac:dyDescent="0.25">
      <c r="B12" s="14" t="s">
        <v>491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8"/>
  <sheetViews>
    <sheetView zoomScaleNormal="100" workbookViewId="0"/>
  </sheetViews>
  <sheetFormatPr defaultColWidth="8.7109375" defaultRowHeight="15" x14ac:dyDescent="0.25"/>
  <cols>
    <col min="1" max="1" width="44" customWidth="1"/>
    <col min="2" max="2" width="18" customWidth="1"/>
    <col min="3" max="3" width="62" customWidth="1"/>
  </cols>
  <sheetData>
    <row r="1" spans="1:3" ht="15.75" x14ac:dyDescent="0.25">
      <c r="A1" s="1" t="s">
        <v>492</v>
      </c>
    </row>
    <row r="3" spans="1:3" x14ac:dyDescent="0.25">
      <c r="A3" s="3" t="s">
        <v>493</v>
      </c>
      <c r="B3" s="26">
        <f>COUNTIFS(ITENS_PEDIDO!$S:$S,"AGUARDANDO_ROTA")</f>
        <v>1</v>
      </c>
      <c r="C3" s="14" t="s">
        <v>494</v>
      </c>
    </row>
    <row r="4" spans="1:3" x14ac:dyDescent="0.25">
      <c r="A4" s="3" t="s">
        <v>495</v>
      </c>
      <c r="B4" s="26">
        <f>COUNTIFS(ITENS_PEDIDO!$S:$S,"ROTA_CONFIRMADA")</f>
        <v>1</v>
      </c>
      <c r="C4" s="14" t="s">
        <v>496</v>
      </c>
    </row>
    <row r="5" spans="1:3" x14ac:dyDescent="0.25">
      <c r="A5" s="3" t="s">
        <v>497</v>
      </c>
      <c r="B5" s="26">
        <f>COUNTIFS(ITENS_PEDIDO!$S:$S,"COLETADO")+COUNTIFS(ITENS_PEDIDO!$S:$S,"EM_TRANSITO")</f>
        <v>5</v>
      </c>
      <c r="C5" s="14" t="s">
        <v>498</v>
      </c>
    </row>
    <row r="6" spans="1:3" x14ac:dyDescent="0.25">
      <c r="A6" s="3" t="s">
        <v>499</v>
      </c>
      <c r="B6" s="26">
        <f>COUNTIFS(ITENS_PEDIDO!$X:$X,"&gt;="&amp;PARAMETROS!$B$3,ITENS_PEDIDO!$X:$X,"&lt;="&amp;PARAMETROS!$B$4)</f>
        <v>6</v>
      </c>
      <c r="C6" s="14"/>
    </row>
    <row r="7" spans="1:3" x14ac:dyDescent="0.25">
      <c r="A7" s="3" t="s">
        <v>500</v>
      </c>
      <c r="B7" s="26">
        <f ca="1">SUMPRODUCT((ITENS_PEDIDO!$W$2:$W$500&lt;&gt;"")*(ITENS_PEDIDO!$W$2:$W$500&lt;TODAY())*(ITENS_PEDIDO!$X$2:$X$500=""))</f>
        <v>5</v>
      </c>
      <c r="C7" s="14" t="s">
        <v>501</v>
      </c>
    </row>
    <row r="9" spans="1:3" x14ac:dyDescent="0.25">
      <c r="A9" s="3" t="s">
        <v>502</v>
      </c>
      <c r="B9" s="27">
        <f>SUMIFS(ITENS_PEDIDO!$Q:$Q,ITENS_PEDIDO!$S:$S,"ENTREGUE")</f>
        <v>7650</v>
      </c>
      <c r="C9" s="14"/>
    </row>
    <row r="10" spans="1:3" x14ac:dyDescent="0.25">
      <c r="A10" s="3" t="s">
        <v>503</v>
      </c>
      <c r="B10" s="27">
        <f>SUM(TRECHOS!$W:$W)</f>
        <v>4655.0882352941171</v>
      </c>
      <c r="C10" s="14" t="s">
        <v>504</v>
      </c>
    </row>
    <row r="11" spans="1:3" x14ac:dyDescent="0.25">
      <c r="A11" s="3" t="s">
        <v>505</v>
      </c>
      <c r="B11" s="27">
        <f>SUM(TRECHOS!$R:$R)</f>
        <v>2620</v>
      </c>
      <c r="C11" s="14" t="s">
        <v>506</v>
      </c>
    </row>
    <row r="12" spans="1:3" x14ac:dyDescent="0.25">
      <c r="A12" s="3" t="s">
        <v>507</v>
      </c>
      <c r="B12" s="27">
        <f>SUM(ITENS_PEDIDO!$Y:$Y)</f>
        <v>433.49999999999994</v>
      </c>
      <c r="C12" s="14" t="s">
        <v>508</v>
      </c>
    </row>
    <row r="13" spans="1:3" x14ac:dyDescent="0.25">
      <c r="A13" s="3" t="s">
        <v>509</v>
      </c>
      <c r="B13" s="27">
        <f>SUM(ITENS_PEDIDO!$AB:$AB)</f>
        <v>5741.4117647058829</v>
      </c>
      <c r="C13" s="14" t="s">
        <v>510</v>
      </c>
    </row>
    <row r="15" spans="1:3" x14ac:dyDescent="0.25">
      <c r="A15" s="3" t="s">
        <v>511</v>
      </c>
      <c r="B15" s="26">
        <f>COUNTIFS(ITENS_PEDIDO!$AC:$AC,"REVISAR")</f>
        <v>0</v>
      </c>
      <c r="C15" s="14" t="s">
        <v>512</v>
      </c>
    </row>
    <row r="16" spans="1:3" x14ac:dyDescent="0.25">
      <c r="A16" s="3" t="s">
        <v>513</v>
      </c>
      <c r="B16" s="26">
        <f>COUNTIFS(ITENS_PEDIDO!$AD:$AD,"BLOQUEAR: SEM LOG")</f>
        <v>1</v>
      </c>
      <c r="C16" s="14" t="s">
        <v>514</v>
      </c>
    </row>
    <row r="17" spans="1:3" x14ac:dyDescent="0.25">
      <c r="A17" s="3" t="s">
        <v>515</v>
      </c>
      <c r="B17" s="26">
        <f>COUNTIFS(OCORRENCIAS!$M:$M,"EM_ANALISE")</f>
        <v>1</v>
      </c>
      <c r="C17" s="14"/>
    </row>
    <row r="18" spans="1:3" x14ac:dyDescent="0.25">
      <c r="A18" s="3" t="s">
        <v>516</v>
      </c>
      <c r="B18" s="27">
        <f>SUMIFS(OCORRENCIAS!$K:$K,OCORRENCIAS!$B:$B,"&gt;="&amp;PARAMETROS!$B$3,OCORRENCIAS!$B:$B,"&lt;="&amp;PARAMETROS!$B$4)</f>
        <v>1000</v>
      </c>
      <c r="C18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1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30" customWidth="1"/>
    <col min="3" max="4" width="18" customWidth="1"/>
    <col min="5" max="6" width="24" customWidth="1"/>
    <col min="7" max="7" width="34" customWidth="1"/>
    <col min="8" max="8" width="8" customWidth="1"/>
  </cols>
  <sheetData>
    <row r="1" spans="1:8" ht="15.75" x14ac:dyDescent="0.25">
      <c r="A1" s="1" t="s">
        <v>517</v>
      </c>
    </row>
    <row r="2" spans="1:8" x14ac:dyDescent="0.25">
      <c r="A2" s="3" t="s">
        <v>518</v>
      </c>
      <c r="B2" s="9" t="s">
        <v>335</v>
      </c>
    </row>
    <row r="3" spans="1:8" x14ac:dyDescent="0.25">
      <c r="A3" s="3" t="s">
        <v>519</v>
      </c>
      <c r="B3" s="18">
        <f>IFERROR(INDEX(CARGAS!$B:$B,MATCH($B$2,CARGAS!$A:$A,0)),"")</f>
        <v>46207</v>
      </c>
    </row>
    <row r="4" spans="1:8" x14ac:dyDescent="0.25">
      <c r="A4" s="3" t="s">
        <v>520</v>
      </c>
      <c r="B4" s="15" t="str">
        <f>IFERROR(INDEX(CARGAS!$C:$C,MATCH($B$2,CARGAS!$A:$A,0)),"")</f>
        <v>Registro/SP → Cascavel e Maringá/PR</v>
      </c>
    </row>
    <row r="5" spans="1:8" x14ac:dyDescent="0.25">
      <c r="A5" s="3" t="s">
        <v>521</v>
      </c>
      <c r="B5" s="15" t="str">
        <f>IFERROR(INDEX(CARGAS!$D:$D,MATCH($B$2,CARGAS!$A:$A,0)),"")</f>
        <v>CEG-003</v>
      </c>
    </row>
    <row r="6" spans="1:8" x14ac:dyDescent="0.25">
      <c r="A6" s="3" t="s">
        <v>522</v>
      </c>
      <c r="B6" s="15" t="str">
        <f>IFERROR(INDEX(MOTORISTAS!$B:$B,MATCH(INDEX(CARGAS!$E:$E,MATCH($B$2,CARGAS!$A:$A,0)),MOTORISTAS!$A:$A,0)),"")</f>
        <v>Cegonha Sul Transportes</v>
      </c>
    </row>
    <row r="7" spans="1:8" x14ac:dyDescent="0.25">
      <c r="A7" s="3" t="s">
        <v>523</v>
      </c>
      <c r="B7" s="15">
        <f>COUNTIFS(TRECHOS!$D:$D,$B$2)</f>
        <v>6</v>
      </c>
    </row>
    <row r="8" spans="1:8" x14ac:dyDescent="0.25">
      <c r="A8" s="3" t="s">
        <v>524</v>
      </c>
      <c r="B8" s="16">
        <f>SUMIFS(TRECHOS!$N:$N,TRECHOS!$D:$D,$B$2)</f>
        <v>3744.1176470588234</v>
      </c>
    </row>
    <row r="10" spans="1:8" x14ac:dyDescent="0.25">
      <c r="A10" s="28" t="s">
        <v>525</v>
      </c>
      <c r="B10" s="28" t="s">
        <v>217</v>
      </c>
      <c r="C10" s="28" t="s">
        <v>526</v>
      </c>
      <c r="D10" s="28" t="s">
        <v>213</v>
      </c>
      <c r="E10" s="28" t="s">
        <v>527</v>
      </c>
      <c r="F10" s="28" t="s">
        <v>528</v>
      </c>
      <c r="G10" s="28" t="s">
        <v>529</v>
      </c>
      <c r="H10" s="28" t="s">
        <v>44</v>
      </c>
    </row>
    <row r="11" spans="1:8" x14ac:dyDescent="0.25">
      <c r="A11" s="15" t="str">
        <f>IF(TRECHOS!$D2=$B$2,"SIM","-")</f>
        <v>-</v>
      </c>
      <c r="B11" s="15" t="str">
        <f>IFERROR(INDEX(ITENS_PEDIDO!$F:$F,MATCH(TRECHOS!$B2,ITENS_PEDIDO!$A:$A,0)),"")</f>
        <v>Compacto 1.0</v>
      </c>
      <c r="C11" s="15" t="str">
        <f>IFERROR(INDEX(ITENS_PEDIDO!$D:$D,MATCH(TRECHOS!$B2,ITENS_PEDIDO!$A:$A,0)),"")</f>
        <v>ABC-1111</v>
      </c>
      <c r="D11" s="15" t="str">
        <f>TRECHOS!$B2</f>
        <v>IT-001</v>
      </c>
      <c r="E11" s="15" t="str">
        <f>IFERROR(INDEX(LOCAIS!$B:$B,MATCH(TRECHOS!$F2,LOCAIS!$A:$A,0)),"")</f>
        <v>Pátio Beta Seminovos Campinas</v>
      </c>
      <c r="F11" s="15" t="str">
        <f>IFERROR(INDEX(LOCAIS!$B:$B,MATCH(TRECHOS!$G2,LOCAIS!$A:$A,0)),"")</f>
        <v>Transbordo Registro</v>
      </c>
      <c r="G11" s="15" t="str">
        <f>IFERROR(INDEX(LOCAIS!$D:$D,MATCH(TRECHOS!$G2,LOCAIS!$A:$A,0))&amp;" - "&amp;INDEX(LOCAIS!$E:$E,MATCH(TRECHOS!$G2,LOCAIS!$A:$A,0))&amp;"/"&amp;INDEX(LOCAIS!$F:$F,MATCH(TRECHOS!$G2,LOCAIS!$A:$A,0)),"")</f>
        <v>BR-116, km 440 - Registro/SP</v>
      </c>
      <c r="H11" s="15">
        <f>TRECHOS!$H2</f>
        <v>400</v>
      </c>
    </row>
    <row r="12" spans="1:8" x14ac:dyDescent="0.25">
      <c r="A12" s="15" t="str">
        <f>IF(TRECHOS!$D3=$B$2,"SIM","-")</f>
        <v>-</v>
      </c>
      <c r="B12" s="15" t="str">
        <f>IFERROR(INDEX(ITENS_PEDIDO!$F:$F,MATCH(TRECHOS!$B3,ITENS_PEDIDO!$A:$A,0)),"")</f>
        <v>SUV 2.0</v>
      </c>
      <c r="C12" s="15" t="str">
        <f>IFERROR(INDEX(ITENS_PEDIDO!$D:$D,MATCH(TRECHOS!$B3,ITENS_PEDIDO!$A:$A,0)),"")</f>
        <v>DEF-2222</v>
      </c>
      <c r="D12" s="15" t="str">
        <f>TRECHOS!$B3</f>
        <v>IT-002</v>
      </c>
      <c r="E12" s="15" t="str">
        <f>IFERROR(INDEX(LOCAIS!$B:$B,MATCH(TRECHOS!$F3,LOCAIS!$A:$A,0)),"")</f>
        <v>Pátio Beta Seminovos Campinas</v>
      </c>
      <c r="F12" s="15" t="str">
        <f>IFERROR(INDEX(LOCAIS!$B:$B,MATCH(TRECHOS!$G3,LOCAIS!$A:$A,0)),"")</f>
        <v>Transbordo Registro</v>
      </c>
      <c r="G12" s="15" t="str">
        <f>IFERROR(INDEX(LOCAIS!$D:$D,MATCH(TRECHOS!$G3,LOCAIS!$A:$A,0))&amp;" - "&amp;INDEX(LOCAIS!$E:$E,MATCH(TRECHOS!$G3,LOCAIS!$A:$A,0))&amp;"/"&amp;INDEX(LOCAIS!$F:$F,MATCH(TRECHOS!$G3,LOCAIS!$A:$A,0)),"")</f>
        <v>BR-116, km 440 - Registro/SP</v>
      </c>
      <c r="H12" s="15">
        <f>TRECHOS!$H3</f>
        <v>400</v>
      </c>
    </row>
    <row r="13" spans="1:8" x14ac:dyDescent="0.25">
      <c r="A13" s="15" t="str">
        <f>IF(TRECHOS!$D4=$B$2,"SIM","-")</f>
        <v>-</v>
      </c>
      <c r="B13" s="15" t="str">
        <f>IFERROR(INDEX(ITENS_PEDIDO!$F:$F,MATCH(TRECHOS!$B4,ITENS_PEDIDO!$A:$A,0)),"")</f>
        <v>Hatch 1.6</v>
      </c>
      <c r="C13" s="15" t="str">
        <f>IFERROR(INDEX(ITENS_PEDIDO!$D:$D,MATCH(TRECHOS!$B4,ITENS_PEDIDO!$A:$A,0)),"")</f>
        <v>GHI-3333</v>
      </c>
      <c r="D13" s="15" t="str">
        <f>TRECHOS!$B4</f>
        <v>IT-003</v>
      </c>
      <c r="E13" s="15" t="str">
        <f>IFERROR(INDEX(LOCAIS!$B:$B,MATCH(TRECHOS!$F4,LOCAIS!$A:$A,0)),"")</f>
        <v>Pátio Beta Seminovos Campinas</v>
      </c>
      <c r="F13" s="15" t="str">
        <f>IFERROR(INDEX(LOCAIS!$B:$B,MATCH(TRECHOS!$G4,LOCAIS!$A:$A,0)),"")</f>
        <v>Transbordo Registro</v>
      </c>
      <c r="G13" s="15" t="str">
        <f>IFERROR(INDEX(LOCAIS!$D:$D,MATCH(TRECHOS!$G4,LOCAIS!$A:$A,0))&amp;" - "&amp;INDEX(LOCAIS!$E:$E,MATCH(TRECHOS!$G4,LOCAIS!$A:$A,0))&amp;"/"&amp;INDEX(LOCAIS!$F:$F,MATCH(TRECHOS!$G4,LOCAIS!$A:$A,0)),"")</f>
        <v>BR-116, km 440 - Registro/SP</v>
      </c>
      <c r="H13" s="15">
        <f>TRECHOS!$H4</f>
        <v>400</v>
      </c>
    </row>
    <row r="14" spans="1:8" x14ac:dyDescent="0.25">
      <c r="A14" s="15" t="str">
        <f>IF(TRECHOS!$D5=$B$2,"SIM","-")</f>
        <v>-</v>
      </c>
      <c r="B14" s="15" t="str">
        <f>IFERROR(INDEX(ITENS_PEDIDO!$F:$F,MATCH(TRECHOS!$B5,ITENS_PEDIDO!$A:$A,0)),"")</f>
        <v>Sedan 1.8</v>
      </c>
      <c r="C14" s="15" t="str">
        <f>IFERROR(INDEX(ITENS_PEDIDO!$D:$D,MATCH(TRECHOS!$B5,ITENS_PEDIDO!$A:$A,0)),"")</f>
        <v>JKL-4444</v>
      </c>
      <c r="D14" s="15" t="str">
        <f>TRECHOS!$B5</f>
        <v>IT-004</v>
      </c>
      <c r="E14" s="15" t="str">
        <f>IFERROR(INDEX(LOCAIS!$B:$B,MATCH(TRECHOS!$F5,LOCAIS!$A:$A,0)),"")</f>
        <v>Pátio Beta Seminovos Campinas</v>
      </c>
      <c r="F14" s="15" t="str">
        <f>IFERROR(INDEX(LOCAIS!$B:$B,MATCH(TRECHOS!$G5,LOCAIS!$A:$A,0)),"")</f>
        <v>Transbordo Registro</v>
      </c>
      <c r="G14" s="15" t="str">
        <f>IFERROR(INDEX(LOCAIS!$D:$D,MATCH(TRECHOS!$G5,LOCAIS!$A:$A,0))&amp;" - "&amp;INDEX(LOCAIS!$E:$E,MATCH(TRECHOS!$G5,LOCAIS!$A:$A,0))&amp;"/"&amp;INDEX(LOCAIS!$F:$F,MATCH(TRECHOS!$G5,LOCAIS!$A:$A,0)),"")</f>
        <v>BR-116, km 440 - Registro/SP</v>
      </c>
      <c r="H14" s="15">
        <f>TRECHOS!$H5</f>
        <v>400</v>
      </c>
    </row>
    <row r="15" spans="1:8" x14ac:dyDescent="0.25">
      <c r="A15" s="15" t="str">
        <f>IF(TRECHOS!$D6=$B$2,"SIM","-")</f>
        <v>-</v>
      </c>
      <c r="B15" s="15" t="str">
        <f>IFERROR(INDEX(ITENS_PEDIDO!$F:$F,MATCH(TRECHOS!$B6,ITENS_PEDIDO!$A:$A,0)),"")</f>
        <v>SUV Compacto</v>
      </c>
      <c r="C15" s="15" t="str">
        <f>IFERROR(INDEX(ITENS_PEDIDO!$D:$D,MATCH(TRECHOS!$B6,ITENS_PEDIDO!$A:$A,0)),"")</f>
        <v>MNO-5555</v>
      </c>
      <c r="D15" s="15" t="str">
        <f>TRECHOS!$B6</f>
        <v>IT-005</v>
      </c>
      <c r="E15" s="15" t="str">
        <f>IFERROR(INDEX(LOCAIS!$B:$B,MATCH(TRECHOS!$F6,LOCAIS!$A:$A,0)),"")</f>
        <v>Pátio Beta Seminovos Campinas</v>
      </c>
      <c r="F15" s="15" t="str">
        <f>IFERROR(INDEX(LOCAIS!$B:$B,MATCH(TRECHOS!$G6,LOCAIS!$A:$A,0)),"")</f>
        <v>Transbordo Registro</v>
      </c>
      <c r="G15" s="15" t="str">
        <f>IFERROR(INDEX(LOCAIS!$D:$D,MATCH(TRECHOS!$G6,LOCAIS!$A:$A,0))&amp;" - "&amp;INDEX(LOCAIS!$E:$E,MATCH(TRECHOS!$G6,LOCAIS!$A:$A,0))&amp;"/"&amp;INDEX(LOCAIS!$F:$F,MATCH(TRECHOS!$G6,LOCAIS!$A:$A,0)),"")</f>
        <v>BR-116, km 440 - Registro/SP</v>
      </c>
      <c r="H15" s="15">
        <f>TRECHOS!$H6</f>
        <v>400</v>
      </c>
    </row>
    <row r="16" spans="1:8" x14ac:dyDescent="0.25">
      <c r="A16" s="15" t="str">
        <f>IF(TRECHOS!$D7=$B$2,"SIM","-")</f>
        <v>-</v>
      </c>
      <c r="B16" s="15" t="str">
        <f>IFERROR(INDEX(ITENS_PEDIDO!$F:$F,MATCH(TRECHOS!$B7,ITENS_PEDIDO!$A:$A,0)),"")</f>
        <v>Picape 2.8</v>
      </c>
      <c r="C16" s="15" t="str">
        <f>IFERROR(INDEX(ITENS_PEDIDO!$D:$D,MATCH(TRECHOS!$B7,ITENS_PEDIDO!$A:$A,0)),"")</f>
        <v>PQR-6666</v>
      </c>
      <c r="D16" s="15" t="str">
        <f>TRECHOS!$B7</f>
        <v>IT-006</v>
      </c>
      <c r="E16" s="15" t="str">
        <f>IFERROR(INDEX(LOCAIS!$B:$B,MATCH(TRECHOS!$F7,LOCAIS!$A:$A,0)),"")</f>
        <v>Pátio Beta Seminovos Campinas</v>
      </c>
      <c r="F16" s="15" t="str">
        <f>IFERROR(INDEX(LOCAIS!$B:$B,MATCH(TRECHOS!$G7,LOCAIS!$A:$A,0)),"")</f>
        <v>Transbordo Registro</v>
      </c>
      <c r="G16" s="15" t="str">
        <f>IFERROR(INDEX(LOCAIS!$D:$D,MATCH(TRECHOS!$G7,LOCAIS!$A:$A,0))&amp;" - "&amp;INDEX(LOCAIS!$E:$E,MATCH(TRECHOS!$G7,LOCAIS!$A:$A,0))&amp;"/"&amp;INDEX(LOCAIS!$F:$F,MATCH(TRECHOS!$G7,LOCAIS!$A:$A,0)),"")</f>
        <v>BR-116, km 440 - Registro/SP</v>
      </c>
      <c r="H16" s="15">
        <f>TRECHOS!$H7</f>
        <v>400</v>
      </c>
    </row>
    <row r="17" spans="1:8" x14ac:dyDescent="0.25">
      <c r="A17" s="15" t="str">
        <f>IF(TRECHOS!$D8=$B$2,"SIM","-")</f>
        <v>SIM</v>
      </c>
      <c r="B17" s="15" t="str">
        <f>IFERROR(INDEX(ITENS_PEDIDO!$F:$F,MATCH(TRECHOS!$B8,ITENS_PEDIDO!$A:$A,0)),"")</f>
        <v>Compacto 1.0</v>
      </c>
      <c r="C17" s="15" t="str">
        <f>IFERROR(INDEX(ITENS_PEDIDO!$D:$D,MATCH(TRECHOS!$B8,ITENS_PEDIDO!$A:$A,0)),"")</f>
        <v>ABC-1111</v>
      </c>
      <c r="D17" s="15" t="str">
        <f>TRECHOS!$B8</f>
        <v>IT-001</v>
      </c>
      <c r="E17" s="15" t="str">
        <f>IFERROR(INDEX(LOCAIS!$B:$B,MATCH(TRECHOS!$F8,LOCAIS!$A:$A,0)),"")</f>
        <v>Transbordo Registro</v>
      </c>
      <c r="F17" s="15" t="str">
        <f>IFERROR(INDEX(LOCAIS!$B:$B,MATCH(TRECHOS!$G8,LOCAIS!$A:$A,0)),"")</f>
        <v>Concessionária Alfa Cascavel</v>
      </c>
      <c r="G17" s="15" t="str">
        <f>IFERROR(INDEX(LOCAIS!$D:$D,MATCH(TRECHOS!$G8,LOCAIS!$A:$A,0))&amp;" - "&amp;INDEX(LOCAIS!$E:$E,MATCH(TRECHOS!$G8,LOCAIS!$A:$A,0))&amp;"/"&amp;INDEX(LOCAIS!$F:$F,MATCH(TRECHOS!$G8,LOCAIS!$A:$A,0)),"")</f>
        <v>Av. Brasil, 1200 - Cascavel/PR</v>
      </c>
      <c r="H17" s="15">
        <f>TRECHOS!$H8</f>
        <v>450</v>
      </c>
    </row>
    <row r="18" spans="1:8" x14ac:dyDescent="0.25">
      <c r="A18" s="15" t="str">
        <f>IF(TRECHOS!$D9=$B$2,"SIM","-")</f>
        <v>SIM</v>
      </c>
      <c r="B18" s="15" t="str">
        <f>IFERROR(INDEX(ITENS_PEDIDO!$F:$F,MATCH(TRECHOS!$B9,ITENS_PEDIDO!$A:$A,0)),"")</f>
        <v>SUV 2.0</v>
      </c>
      <c r="C18" s="15" t="str">
        <f>IFERROR(INDEX(ITENS_PEDIDO!$D:$D,MATCH(TRECHOS!$B9,ITENS_PEDIDO!$A:$A,0)),"")</f>
        <v>DEF-2222</v>
      </c>
      <c r="D18" s="15" t="str">
        <f>TRECHOS!$B9</f>
        <v>IT-002</v>
      </c>
      <c r="E18" s="15" t="str">
        <f>IFERROR(INDEX(LOCAIS!$B:$B,MATCH(TRECHOS!$F9,LOCAIS!$A:$A,0)),"")</f>
        <v>Transbordo Registro</v>
      </c>
      <c r="F18" s="15" t="str">
        <f>IFERROR(INDEX(LOCAIS!$B:$B,MATCH(TRECHOS!$G9,LOCAIS!$A:$A,0)),"")</f>
        <v>Concessionária Alfa Cascavel</v>
      </c>
      <c r="G18" s="15" t="str">
        <f>IFERROR(INDEX(LOCAIS!$D:$D,MATCH(TRECHOS!$G9,LOCAIS!$A:$A,0))&amp;" - "&amp;INDEX(LOCAIS!$E:$E,MATCH(TRECHOS!$G9,LOCAIS!$A:$A,0))&amp;"/"&amp;INDEX(LOCAIS!$F:$F,MATCH(TRECHOS!$G9,LOCAIS!$A:$A,0)),"")</f>
        <v>Av. Brasil, 1200 - Cascavel/PR</v>
      </c>
      <c r="H18" s="15">
        <f>TRECHOS!$H9</f>
        <v>450</v>
      </c>
    </row>
    <row r="19" spans="1:8" x14ac:dyDescent="0.25">
      <c r="A19" s="15" t="str">
        <f>IF(TRECHOS!$D10=$B$2,"SIM","-")</f>
        <v>SIM</v>
      </c>
      <c r="B19" s="15" t="str">
        <f>IFERROR(INDEX(ITENS_PEDIDO!$F:$F,MATCH(TRECHOS!$B10,ITENS_PEDIDO!$A:$A,0)),"")</f>
        <v>Hatch 1.6</v>
      </c>
      <c r="C19" s="15" t="str">
        <f>IFERROR(INDEX(ITENS_PEDIDO!$D:$D,MATCH(TRECHOS!$B10,ITENS_PEDIDO!$A:$A,0)),"")</f>
        <v>GHI-3333</v>
      </c>
      <c r="D19" s="15" t="str">
        <f>TRECHOS!$B10</f>
        <v>IT-003</v>
      </c>
      <c r="E19" s="15" t="str">
        <f>IFERROR(INDEX(LOCAIS!$B:$B,MATCH(TRECHOS!$F10,LOCAIS!$A:$A,0)),"")</f>
        <v>Transbordo Registro</v>
      </c>
      <c r="F19" s="15" t="str">
        <f>IFERROR(INDEX(LOCAIS!$B:$B,MATCH(TRECHOS!$G10,LOCAIS!$A:$A,0)),"")</f>
        <v>Concessionária Alfa Cascavel</v>
      </c>
      <c r="G19" s="15" t="str">
        <f>IFERROR(INDEX(LOCAIS!$D:$D,MATCH(TRECHOS!$G10,LOCAIS!$A:$A,0))&amp;" - "&amp;INDEX(LOCAIS!$E:$E,MATCH(TRECHOS!$G10,LOCAIS!$A:$A,0))&amp;"/"&amp;INDEX(LOCAIS!$F:$F,MATCH(TRECHOS!$G10,LOCAIS!$A:$A,0)),"")</f>
        <v>Av. Brasil, 1200 - Cascavel/PR</v>
      </c>
      <c r="H19" s="15">
        <f>TRECHOS!$H10</f>
        <v>450</v>
      </c>
    </row>
    <row r="20" spans="1:8" x14ac:dyDescent="0.25">
      <c r="A20" s="15" t="str">
        <f>IF(TRECHOS!$D11=$B$2,"SIM","-")</f>
        <v>SIM</v>
      </c>
      <c r="B20" s="15" t="str">
        <f>IFERROR(INDEX(ITENS_PEDIDO!$F:$F,MATCH(TRECHOS!$B11,ITENS_PEDIDO!$A:$A,0)),"")</f>
        <v>Sedan 1.8</v>
      </c>
      <c r="C20" s="15" t="str">
        <f>IFERROR(INDEX(ITENS_PEDIDO!$D:$D,MATCH(TRECHOS!$B11,ITENS_PEDIDO!$A:$A,0)),"")</f>
        <v>JKL-4444</v>
      </c>
      <c r="D20" s="15" t="str">
        <f>TRECHOS!$B11</f>
        <v>IT-004</v>
      </c>
      <c r="E20" s="15" t="str">
        <f>IFERROR(INDEX(LOCAIS!$B:$B,MATCH(TRECHOS!$F11,LOCAIS!$A:$A,0)),"")</f>
        <v>Transbordo Registro</v>
      </c>
      <c r="F20" s="15" t="str">
        <f>IFERROR(INDEX(LOCAIS!$B:$B,MATCH(TRECHOS!$G11,LOCAIS!$A:$A,0)),"")</f>
        <v>Concessionária Alfa Maringá</v>
      </c>
      <c r="G20" s="15" t="str">
        <f>IFERROR(INDEX(LOCAIS!$D:$D,MATCH(TRECHOS!$G11,LOCAIS!$A:$A,0))&amp;" - "&amp;INDEX(LOCAIS!$E:$E,MATCH(TRECHOS!$G11,LOCAIS!$A:$A,0))&amp;"/"&amp;INDEX(LOCAIS!$F:$F,MATCH(TRECHOS!$G11,LOCAIS!$A:$A,0)),"")</f>
        <v>Av. Colombo, 5000 - Maringá/PR</v>
      </c>
      <c r="H20" s="15">
        <f>TRECHOS!$H11</f>
        <v>320</v>
      </c>
    </row>
    <row r="21" spans="1:8" x14ac:dyDescent="0.25">
      <c r="A21" s="15" t="str">
        <f>IF(TRECHOS!$D12=$B$2,"SIM","-")</f>
        <v>SIM</v>
      </c>
      <c r="B21" s="15" t="str">
        <f>IFERROR(INDEX(ITENS_PEDIDO!$F:$F,MATCH(TRECHOS!$B12,ITENS_PEDIDO!$A:$A,0)),"")</f>
        <v>SUV Compacto</v>
      </c>
      <c r="C21" s="15" t="str">
        <f>IFERROR(INDEX(ITENS_PEDIDO!$D:$D,MATCH(TRECHOS!$B12,ITENS_PEDIDO!$A:$A,0)),"")</f>
        <v>MNO-5555</v>
      </c>
      <c r="D21" s="15" t="str">
        <f>TRECHOS!$B12</f>
        <v>IT-005</v>
      </c>
      <c r="E21" s="15" t="str">
        <f>IFERROR(INDEX(LOCAIS!$B:$B,MATCH(TRECHOS!$F12,LOCAIS!$A:$A,0)),"")</f>
        <v>Transbordo Registro</v>
      </c>
      <c r="F21" s="15" t="str">
        <f>IFERROR(INDEX(LOCAIS!$B:$B,MATCH(TRECHOS!$G12,LOCAIS!$A:$A,0)),"")</f>
        <v>Concessionária Alfa Maringá</v>
      </c>
      <c r="G21" s="15" t="str">
        <f>IFERROR(INDEX(LOCAIS!$D:$D,MATCH(TRECHOS!$G12,LOCAIS!$A:$A,0))&amp;" - "&amp;INDEX(LOCAIS!$E:$E,MATCH(TRECHOS!$G12,LOCAIS!$A:$A,0))&amp;"/"&amp;INDEX(LOCAIS!$F:$F,MATCH(TRECHOS!$G12,LOCAIS!$A:$A,0)),"")</f>
        <v>Av. Colombo, 5000 - Maringá/PR</v>
      </c>
      <c r="H21" s="15">
        <f>TRECHOS!$H12</f>
        <v>320</v>
      </c>
    </row>
    <row r="22" spans="1:8" x14ac:dyDescent="0.25">
      <c r="A22" s="15" t="str">
        <f>IF(TRECHOS!$D13=$B$2,"SIM","-")</f>
        <v>SIM</v>
      </c>
      <c r="B22" s="15" t="str">
        <f>IFERROR(INDEX(ITENS_PEDIDO!$F:$F,MATCH(TRECHOS!$B13,ITENS_PEDIDO!$A:$A,0)),"")</f>
        <v>Picape 2.8</v>
      </c>
      <c r="C22" s="15" t="str">
        <f>IFERROR(INDEX(ITENS_PEDIDO!$D:$D,MATCH(TRECHOS!$B13,ITENS_PEDIDO!$A:$A,0)),"")</f>
        <v>PQR-6666</v>
      </c>
      <c r="D22" s="15" t="str">
        <f>TRECHOS!$B13</f>
        <v>IT-006</v>
      </c>
      <c r="E22" s="15" t="str">
        <f>IFERROR(INDEX(LOCAIS!$B:$B,MATCH(TRECHOS!$F13,LOCAIS!$A:$A,0)),"")</f>
        <v>Transbordo Registro</v>
      </c>
      <c r="F22" s="15" t="str">
        <f>IFERROR(INDEX(LOCAIS!$B:$B,MATCH(TRECHOS!$G13,LOCAIS!$A:$A,0)),"")</f>
        <v>Concessionária Alfa Maringá</v>
      </c>
      <c r="G22" s="15" t="str">
        <f>IFERROR(INDEX(LOCAIS!$D:$D,MATCH(TRECHOS!$G13,LOCAIS!$A:$A,0))&amp;" - "&amp;INDEX(LOCAIS!$E:$E,MATCH(TRECHOS!$G13,LOCAIS!$A:$A,0))&amp;"/"&amp;INDEX(LOCAIS!$F:$F,MATCH(TRECHOS!$G13,LOCAIS!$A:$A,0)),"")</f>
        <v>Av. Colombo, 5000 - Maringá/PR</v>
      </c>
      <c r="H22" s="15">
        <f>TRECHOS!$H13</f>
        <v>320</v>
      </c>
    </row>
    <row r="23" spans="1:8" x14ac:dyDescent="0.25">
      <c r="A23" s="15" t="str">
        <f>IF(TRECHOS!$D14=$B$2,"SIM","-")</f>
        <v>-</v>
      </c>
      <c r="B23" s="15" t="str">
        <f>IFERROR(INDEX(ITENS_PEDIDO!$F:$F,MATCH(TRECHOS!$B14,ITENS_PEDIDO!$A:$A,0)),"")</f>
        <v>Sedan Plus</v>
      </c>
      <c r="C23" s="15" t="str">
        <f>IFERROR(INDEX(ITENS_PEDIDO!$D:$D,MATCH(TRECHOS!$B14,ITENS_PEDIDO!$A:$A,0)),"")</f>
        <v>STU-7777</v>
      </c>
      <c r="D23" s="15" t="str">
        <f>TRECHOS!$B14</f>
        <v>IT-007</v>
      </c>
      <c r="E23" s="15" t="str">
        <f>IFERROR(INDEX(LOCAIS!$B:$B,MATCH(TRECHOS!$F14,LOCAIS!$A:$A,0)),"")</f>
        <v>Beta Seminovos Curitiba</v>
      </c>
      <c r="F23" s="15" t="str">
        <f>IFERROR(INDEX(LOCAIS!$B:$B,MATCH(TRECHOS!$G14,LOCAIS!$A:$A,0)),"")</f>
        <v>Concessionária Alfa Cascavel</v>
      </c>
      <c r="G23" s="15" t="str">
        <f>IFERROR(INDEX(LOCAIS!$D:$D,MATCH(TRECHOS!$G14,LOCAIS!$A:$A,0))&amp;" - "&amp;INDEX(LOCAIS!$E:$E,MATCH(TRECHOS!$G14,LOCAIS!$A:$A,0))&amp;"/"&amp;INDEX(LOCAIS!$F:$F,MATCH(TRECHOS!$G14,LOCAIS!$A:$A,0)),"")</f>
        <v>Av. Brasil, 1200 - Cascavel/PR</v>
      </c>
      <c r="H23" s="15">
        <f>TRECHOS!$H14</f>
        <v>500</v>
      </c>
    </row>
    <row r="24" spans="1:8" x14ac:dyDescent="0.25">
      <c r="A24" s="15" t="str">
        <f>IF(TRECHOS!$D15=$B$2,"SIM","-")</f>
        <v>-</v>
      </c>
      <c r="B24" s="15" t="str">
        <f>IFERROR(INDEX(ITENS_PEDIDO!$F:$F,MATCH(TRECHOS!$B15,ITENS_PEDIDO!$A:$A,0)),"")</f>
        <v>Hatch Sport</v>
      </c>
      <c r="C24" s="15" t="str">
        <f>IFERROR(INDEX(ITENS_PEDIDO!$D:$D,MATCH(TRECHOS!$B15,ITENS_PEDIDO!$A:$A,0)),"")</f>
        <v>VWX-8888</v>
      </c>
      <c r="D24" s="15" t="str">
        <f>TRECHOS!$B15</f>
        <v>IT-008</v>
      </c>
      <c r="E24" s="15" t="str">
        <f>IFERROR(INDEX(LOCAIS!$B:$B,MATCH(TRECHOS!$F15,LOCAIS!$A:$A,0)),"")</f>
        <v>Beta Seminovos Curitiba</v>
      </c>
      <c r="F24" s="15" t="str">
        <f>IFERROR(INDEX(LOCAIS!$B:$B,MATCH(TRECHOS!$G15,LOCAIS!$A:$A,0)),"")</f>
        <v>Concessionária Alfa Cascavel</v>
      </c>
      <c r="G24" s="15" t="str">
        <f>IFERROR(INDEX(LOCAIS!$D:$D,MATCH(TRECHOS!$G15,LOCAIS!$A:$A,0))&amp;" - "&amp;INDEX(LOCAIS!$E:$E,MATCH(TRECHOS!$G15,LOCAIS!$A:$A,0))&amp;"/"&amp;INDEX(LOCAIS!$F:$F,MATCH(TRECHOS!$G15,LOCAIS!$A:$A,0)),"")</f>
        <v>Av. Brasil, 1200 - Cascavel/PR</v>
      </c>
      <c r="H24" s="15">
        <f>TRECHOS!$H15</f>
        <v>500</v>
      </c>
    </row>
    <row r="25" spans="1:8" x14ac:dyDescent="0.25">
      <c r="A25" s="15" t="str">
        <f>IF(TRECHOS!$D16=$B$2,"SIM","-")</f>
        <v>-</v>
      </c>
      <c r="B25" s="15" t="str">
        <f>IFERROR(INDEX(ITENS_PEDIDO!$F:$F,MATCH(TRECHOS!$B16,ITENS_PEDIDO!$A:$A,0)),"")</f>
        <v>SUV 1.4T</v>
      </c>
      <c r="C25" s="15" t="str">
        <f>IFERROR(INDEX(ITENS_PEDIDO!$D:$D,MATCH(TRECHOS!$B16,ITENS_PEDIDO!$A:$A,0)),"")</f>
        <v>YZA-9999</v>
      </c>
      <c r="D25" s="15" t="str">
        <f>TRECHOS!$B16</f>
        <v>IT-009</v>
      </c>
      <c r="E25" s="15" t="str">
        <f>IFERROR(INDEX(LOCAIS!$B:$B,MATCH(TRECHOS!$F16,LOCAIS!$A:$A,0)),"")</f>
        <v>Beta Seminovos Curitiba</v>
      </c>
      <c r="F25" s="15" t="str">
        <f>IFERROR(INDEX(LOCAIS!$B:$B,MATCH(TRECHOS!$G16,LOCAIS!$A:$A,0)),"")</f>
        <v>Concessionária Alfa Cascavel</v>
      </c>
      <c r="G25" s="15" t="str">
        <f>IFERROR(INDEX(LOCAIS!$D:$D,MATCH(TRECHOS!$G16,LOCAIS!$A:$A,0))&amp;" - "&amp;INDEX(LOCAIS!$E:$E,MATCH(TRECHOS!$G16,LOCAIS!$A:$A,0))&amp;"/"&amp;INDEX(LOCAIS!$F:$F,MATCH(TRECHOS!$G16,LOCAIS!$A:$A,0)),"")</f>
        <v>Av. Brasil, 1200 - Cascavel/PR</v>
      </c>
      <c r="H25" s="15">
        <f>TRECHOS!$H16</f>
        <v>500</v>
      </c>
    </row>
    <row r="26" spans="1:8" x14ac:dyDescent="0.25">
      <c r="A26" s="15" t="str">
        <f>IF(TRECHOS!$D17=$B$2,"SIM","-")</f>
        <v>-</v>
      </c>
      <c r="B26" s="15" t="str">
        <f>IFERROR(INDEX(ITENS_PEDIDO!$F:$F,MATCH(TRECHOS!$B17,ITENS_PEDIDO!$A:$A,0)),"")</f>
        <v>Compacto 1.0</v>
      </c>
      <c r="C26" s="15" t="str">
        <f>IFERROR(INDEX(ITENS_PEDIDO!$D:$D,MATCH(TRECHOS!$B17,ITENS_PEDIDO!$A:$A,0)),"")</f>
        <v>BCD-1010</v>
      </c>
      <c r="D26" s="15" t="str">
        <f>TRECHOS!$B17</f>
        <v>IT-010</v>
      </c>
      <c r="E26" s="15" t="str">
        <f>IFERROR(INDEX(LOCAIS!$B:$B,MATCH(TRECHOS!$F17,LOCAIS!$A:$A,0)),"")</f>
        <v>Beta Seminovos Curitiba</v>
      </c>
      <c r="F26" s="15" t="str">
        <f>IFERROR(INDEX(LOCAIS!$B:$B,MATCH(TRECHOS!$G17,LOCAIS!$A:$A,0)),"")</f>
        <v>Concessionária Alfa Maringá</v>
      </c>
      <c r="G26" s="15" t="str">
        <f>IFERROR(INDEX(LOCAIS!$D:$D,MATCH(TRECHOS!$G17,LOCAIS!$A:$A,0))&amp;" - "&amp;INDEX(LOCAIS!$E:$E,MATCH(TRECHOS!$G17,LOCAIS!$A:$A,0))&amp;"/"&amp;INDEX(LOCAIS!$F:$F,MATCH(TRECHOS!$G17,LOCAIS!$A:$A,0)),"")</f>
        <v>Av. Colombo, 5000 - Maringá/PR</v>
      </c>
      <c r="H26" s="15">
        <f>TRECHOS!$H17</f>
        <v>460</v>
      </c>
    </row>
    <row r="27" spans="1:8" x14ac:dyDescent="0.25">
      <c r="A27" s="15" t="str">
        <f>IF(TRECHOS!$D18=$B$2,"SIM","-")</f>
        <v>-</v>
      </c>
      <c r="B27" s="15" t="str">
        <f>IFERROR(INDEX(ITENS_PEDIDO!$F:$F,MATCH(TRECHOS!$B18,ITENS_PEDIDO!$A:$A,0)),"")</f>
        <v>Sedan 2.0</v>
      </c>
      <c r="C27" s="15" t="str">
        <f>IFERROR(INDEX(ITENS_PEDIDO!$D:$D,MATCH(TRECHOS!$B18,ITENS_PEDIDO!$A:$A,0)),"")</f>
        <v>EFG-1111</v>
      </c>
      <c r="D27" s="15" t="str">
        <f>TRECHOS!$B18</f>
        <v>IT-011</v>
      </c>
      <c r="E27" s="15" t="str">
        <f>IFERROR(INDEX(LOCAIS!$B:$B,MATCH(TRECHOS!$F18,LOCAIS!$A:$A,0)),"")</f>
        <v>Beta Seminovos Curitiba</v>
      </c>
      <c r="F27" s="15" t="str">
        <f>IFERROR(INDEX(LOCAIS!$B:$B,MATCH(TRECHOS!$G18,LOCAIS!$A:$A,0)),"")</f>
        <v>Concessionária Alfa Maringá</v>
      </c>
      <c r="G27" s="15" t="str">
        <f>IFERROR(INDEX(LOCAIS!$D:$D,MATCH(TRECHOS!$G18,LOCAIS!$A:$A,0))&amp;" - "&amp;INDEX(LOCAIS!$E:$E,MATCH(TRECHOS!$G18,LOCAIS!$A:$A,0))&amp;"/"&amp;INDEX(LOCAIS!$F:$F,MATCH(TRECHOS!$G18,LOCAIS!$A:$A,0)),"")</f>
        <v>Av. Colombo, 5000 - Maringá/PR</v>
      </c>
      <c r="H27" s="15">
        <f>TRECHOS!$H18</f>
        <v>460</v>
      </c>
    </row>
    <row r="28" spans="1:8" x14ac:dyDescent="0.25">
      <c r="A28" s="15" t="str">
        <f>IF(TRECHOS!$D19=$B$2,"SIM","-")</f>
        <v>-</v>
      </c>
      <c r="B28" s="15" t="str">
        <f>IFERROR(INDEX(ITENS_PEDIDO!$F:$F,MATCH(TRECHOS!$B19,ITENS_PEDIDO!$A:$A,0)),"")</f>
        <v>SUV 2.0 Diesel</v>
      </c>
      <c r="C28" s="15" t="str">
        <f>IFERROR(INDEX(ITENS_PEDIDO!$D:$D,MATCH(TRECHOS!$B19,ITENS_PEDIDO!$A:$A,0)),"")</f>
        <v>HIJ-1212</v>
      </c>
      <c r="D28" s="15" t="str">
        <f>TRECHOS!$B19</f>
        <v>IT-012</v>
      </c>
      <c r="E28" s="15" t="str">
        <f>IFERROR(INDEX(LOCAIS!$B:$B,MATCH(TRECHOS!$F19,LOCAIS!$A:$A,0)),"")</f>
        <v>Beta Seminovos Curitiba</v>
      </c>
      <c r="F28" s="15" t="str">
        <f>IFERROR(INDEX(LOCAIS!$B:$B,MATCH(TRECHOS!$G19,LOCAIS!$A:$A,0)),"")</f>
        <v>Concessionária Alfa Maringá</v>
      </c>
      <c r="G28" s="15" t="str">
        <f>IFERROR(INDEX(LOCAIS!$D:$D,MATCH(TRECHOS!$G19,LOCAIS!$A:$A,0))&amp;" - "&amp;INDEX(LOCAIS!$E:$E,MATCH(TRECHOS!$G19,LOCAIS!$A:$A,0))&amp;"/"&amp;INDEX(LOCAIS!$F:$F,MATCH(TRECHOS!$G19,LOCAIS!$A:$A,0)),"")</f>
        <v>Av. Colombo, 5000 - Maringá/PR</v>
      </c>
      <c r="H28" s="15">
        <f>TRECHOS!$H19</f>
        <v>460</v>
      </c>
    </row>
    <row r="31" spans="1:8" x14ac:dyDescent="0.25">
      <c r="A31" s="14" t="s">
        <v>530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LEIA-ME</vt:lpstr>
      <vt:lpstr>PARAMETROS</vt:lpstr>
      <vt:lpstr>CLIENTES</vt:lpstr>
      <vt:lpstr>LOCAIS</vt:lpstr>
      <vt:lpstr>MOTORISTAS</vt:lpstr>
      <vt:lpstr>CEGONHAS</vt:lpstr>
      <vt:lpstr>PEDIDOS</vt:lpstr>
      <vt:lpstr>ITENS_PEDIDO</vt:lpstr>
      <vt:lpstr>CARGAS</vt:lpstr>
      <vt:lpstr>TRECHOS</vt:lpstr>
      <vt:lpstr>CUSTOS</vt:lpstr>
      <vt:lpstr>CHECKLIST</vt:lpstr>
      <vt:lpstr>OCORRENCIAS</vt:lpstr>
      <vt:lpstr>HISTORICO_LOG</vt:lpstr>
      <vt:lpstr>FATURAMENTO_MOTORISTA</vt:lpstr>
      <vt:lpstr>PAINEL</vt:lpstr>
      <vt:lpstr>ROMANEIO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Ingra Farias</cp:lastModifiedBy>
  <cp:revision>0</cp:revision>
  <dcterms:created xsi:type="dcterms:W3CDTF">2026-07-14T16:15:40Z</dcterms:created>
  <dcterms:modified xsi:type="dcterms:W3CDTF">2026-07-14T18:34:29Z</dcterms:modified>
  <dc:language>en-US</dc:language>
</cp:coreProperties>
</file>